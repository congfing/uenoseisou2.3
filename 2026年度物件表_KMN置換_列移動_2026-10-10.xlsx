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7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/Users/annsyuu/Library/CloudStorage/GoogleDrive-annsyuu38@gmail.com/マイドライブ/"/>
    </mc:Choice>
  </mc:AlternateContent>
  <xr:revisionPtr revIDLastSave="0" documentId="13_ncr:20001_{930FB45B-D8AA-3A4D-98E5-37C44EB9AAE2}" xr6:coauthVersionLast="47" xr6:coauthVersionMax="47" xr10:uidLastSave="{00000000-0000-0000-0000-000000000000}"/>
  <bookViews>
    <workbookView xWindow="-31720" yWindow="3120" windowWidth="31020" windowHeight="20260" xr2:uid="{00000000-000D-0000-FFFF-FFFF00000000}"/>
  </bookViews>
  <sheets>
    <sheet name="2026年度担当者物件表  20260127" sheetId="1" r:id="rId1"/>
    <sheet name="水曜日金属（行ってるとこコバ）" sheetId="2" r:id="rId2"/>
    <sheet name="水曜日金属収集表  (改定)" sheetId="3" r:id="rId3"/>
    <sheet name="水曜日金属収集表  (uejii)" sheetId="4" r:id="rId4"/>
    <sheet name="水曜日金属収集表 " sheetId="5" r:id="rId5"/>
    <sheet name="水曜日可燃収集表 (20250709)" sheetId="6" r:id="rId6"/>
    <sheet name="土曜日物件表 20250624" sheetId="7" r:id="rId7"/>
    <sheet name="ガラ集物件（20250709）" sheetId="8" r:id="rId8"/>
    <sheet name="段ボール週間予定表" sheetId="9" r:id="rId9"/>
    <sheet name="ダンボール収集表" sheetId="10" r:id="rId10"/>
  </sheets>
  <definedNames>
    <definedName name="_xlnm.Print_Area" localSheetId="7">'ガラ集物件（20250709）'!$A$1:$D$29</definedName>
    <definedName name="_xlnm.Print_Area" localSheetId="9">ダンボール収集表!$A$1:$E$25</definedName>
    <definedName name="_xlnm.Print_Area" localSheetId="5">'水曜日可燃収集表 (20250709)'!$A$1:$J$34</definedName>
    <definedName name="_xlnm.Print_Area" localSheetId="1">'水曜日金属（行ってるとこコバ）'!$A$1:$O$37</definedName>
    <definedName name="_xlnm.Print_Area" localSheetId="4">'水曜日金属収集表 '!$U$1:$AM$35</definedName>
    <definedName name="_xlnm.Print_Area" localSheetId="2">'水曜日金属収集表  (改定)'!$U$1:$AM$35</definedName>
    <definedName name="_xlnm.Print_Area" localSheetId="6">'土曜日物件表 20250624'!$A$1:$I$27</definedName>
  </definedName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M37" i="5" l="1"/>
  <c r="AL37" i="5"/>
  <c r="AK37" i="5"/>
  <c r="AJ37" i="5"/>
  <c r="AI37" i="5"/>
  <c r="S37" i="5"/>
  <c r="R37" i="5"/>
  <c r="Q37" i="5"/>
  <c r="P37" i="5"/>
  <c r="O37" i="5"/>
  <c r="S35" i="4"/>
  <c r="R35" i="4"/>
  <c r="Q35" i="4"/>
  <c r="P35" i="4"/>
  <c r="O35" i="4"/>
  <c r="AM37" i="3"/>
  <c r="AL37" i="3"/>
  <c r="AK37" i="3"/>
  <c r="AJ37" i="3"/>
  <c r="AI37" i="3"/>
  <c r="S37" i="3"/>
  <c r="R37" i="3"/>
  <c r="Q37" i="3"/>
  <c r="P37" i="3"/>
  <c r="O37" i="3"/>
  <c r="AC298" i="1"/>
  <c r="AC297" i="1"/>
  <c r="AC296" i="1"/>
  <c r="AC295" i="1"/>
  <c r="AC294" i="1"/>
  <c r="AC293" i="1"/>
  <c r="AC292" i="1"/>
  <c r="AK291" i="1"/>
  <c r="AJ291" i="1"/>
  <c r="AI291" i="1"/>
  <c r="AH291" i="1"/>
  <c r="AG291" i="1"/>
  <c r="AF291" i="1"/>
  <c r="AE291" i="1"/>
  <c r="AD291" i="1"/>
  <c r="AC291" i="1"/>
  <c r="AC237" i="1"/>
  <c r="AC236" i="1"/>
  <c r="AC235" i="1"/>
  <c r="AC234" i="1"/>
  <c r="AC233" i="1"/>
  <c r="AC232" i="1"/>
  <c r="AC231" i="1"/>
  <c r="AK230" i="1"/>
  <c r="AJ230" i="1"/>
  <c r="AI230" i="1"/>
  <c r="AH230" i="1"/>
  <c r="AG230" i="1"/>
  <c r="AF230" i="1"/>
  <c r="AE230" i="1"/>
  <c r="AD230" i="1"/>
  <c r="AC230" i="1"/>
  <c r="AC194" i="1"/>
  <c r="AC192" i="1"/>
  <c r="AC190" i="1"/>
  <c r="AC189" i="1"/>
  <c r="AC188" i="1"/>
  <c r="AC187" i="1"/>
  <c r="AC186" i="1"/>
  <c r="AK185" i="1"/>
  <c r="AJ185" i="1"/>
  <c r="AI185" i="1"/>
  <c r="AH185" i="1"/>
  <c r="AG185" i="1"/>
  <c r="AF185" i="1"/>
  <c r="AE185" i="1"/>
  <c r="AD185" i="1"/>
  <c r="AC185" i="1"/>
  <c r="AC147" i="1"/>
  <c r="AC146" i="1"/>
  <c r="AC144" i="1"/>
  <c r="AC143" i="1"/>
  <c r="AC142" i="1"/>
  <c r="AC141" i="1"/>
  <c r="AC140" i="1"/>
  <c r="AK138" i="1"/>
  <c r="AJ138" i="1"/>
  <c r="AI138" i="1"/>
  <c r="AH138" i="1"/>
  <c r="AG138" i="1"/>
  <c r="AF138" i="1"/>
  <c r="AE138" i="1"/>
  <c r="AD138" i="1"/>
  <c r="AC138" i="1"/>
  <c r="AC108" i="1"/>
  <c r="AC107" i="1"/>
  <c r="AC106" i="1"/>
  <c r="AC105" i="1"/>
  <c r="AC104" i="1"/>
  <c r="AC103" i="1"/>
  <c r="AC102" i="1"/>
  <c r="AK101" i="1"/>
  <c r="AJ101" i="1"/>
  <c r="AI101" i="1"/>
  <c r="AH101" i="1"/>
  <c r="AG101" i="1"/>
  <c r="AF101" i="1"/>
  <c r="AE101" i="1"/>
  <c r="AD101" i="1"/>
  <c r="AC101" i="1"/>
  <c r="AK11" i="1"/>
  <c r="AK297" i="1" s="1"/>
  <c r="AJ11" i="1"/>
  <c r="AJ297" i="1" s="1"/>
  <c r="AI11" i="1"/>
  <c r="AH11" i="1"/>
  <c r="AH236" i="1" s="1"/>
  <c r="AG11" i="1"/>
  <c r="AG297" i="1" s="1"/>
  <c r="AF11" i="1"/>
  <c r="AE11" i="1"/>
  <c r="AE236" i="1" s="1"/>
  <c r="AD11" i="1"/>
  <c r="AD236" i="1" s="1"/>
  <c r="AK10" i="1"/>
  <c r="AJ10" i="1"/>
  <c r="AJ296" i="1" s="1"/>
  <c r="AI10" i="1"/>
  <c r="AH10" i="1"/>
  <c r="AH296" i="1" s="1"/>
  <c r="AG10" i="1"/>
  <c r="AG296" i="1" s="1"/>
  <c r="AF10" i="1"/>
  <c r="AE10" i="1"/>
  <c r="AD10" i="1"/>
  <c r="AD235" i="1" s="1"/>
  <c r="AK9" i="1"/>
  <c r="AK295" i="1" s="1"/>
  <c r="AJ9" i="1"/>
  <c r="AJ295" i="1" s="1"/>
  <c r="AI9" i="1"/>
  <c r="AI295" i="1" s="1"/>
  <c r="AH9" i="1"/>
  <c r="AG9" i="1"/>
  <c r="AG295" i="1" s="1"/>
  <c r="AF9" i="1"/>
  <c r="AF295" i="1" s="1"/>
  <c r="AE9" i="1"/>
  <c r="AE295" i="1" s="1"/>
  <c r="AD9" i="1"/>
  <c r="AD234" i="1" s="1"/>
  <c r="AK8" i="1"/>
  <c r="AJ8" i="1"/>
  <c r="AJ294" i="1" s="1"/>
  <c r="AI8" i="1"/>
  <c r="AH8" i="1"/>
  <c r="AH294" i="1" s="1"/>
  <c r="AG8" i="1"/>
  <c r="AG294" i="1" s="1"/>
  <c r="AF8" i="1"/>
  <c r="AE8" i="1"/>
  <c r="AD8" i="1"/>
  <c r="AD294" i="1" s="1"/>
  <c r="AK7" i="1"/>
  <c r="AK293" i="1" s="1"/>
  <c r="AJ7" i="1"/>
  <c r="AJ232" i="1" s="1"/>
  <c r="AI7" i="1"/>
  <c r="AH7" i="1"/>
  <c r="AG7" i="1"/>
  <c r="AG293" i="1" s="1"/>
  <c r="AF7" i="1"/>
  <c r="AE7" i="1"/>
  <c r="AE293" i="1" s="1"/>
  <c r="AD7" i="1"/>
  <c r="AD232" i="1" s="1"/>
  <c r="AK4" i="1"/>
  <c r="AJ4" i="1"/>
  <c r="AI4" i="1"/>
  <c r="AH4" i="1"/>
  <c r="AH292" i="1" s="1"/>
  <c r="AG4" i="1"/>
  <c r="AG292" i="1" s="1"/>
  <c r="AF4" i="1"/>
  <c r="AF292" i="1" s="1"/>
  <c r="AE4" i="1"/>
  <c r="AE102" i="1" s="1"/>
  <c r="AD4" i="1"/>
  <c r="AD12" i="1" l="1"/>
  <c r="AD298" i="1" s="1"/>
  <c r="AJ12" i="1"/>
  <c r="AJ147" i="1" s="1"/>
  <c r="AK146" i="1"/>
  <c r="AD105" i="1"/>
  <c r="AD107" i="1"/>
  <c r="AG144" i="1"/>
  <c r="AD189" i="1"/>
  <c r="AD192" i="1"/>
  <c r="AG235" i="1"/>
  <c r="AK236" i="1"/>
  <c r="AD295" i="1"/>
  <c r="AD297" i="1"/>
  <c r="AD103" i="1"/>
  <c r="AE107" i="1"/>
  <c r="AH142" i="1"/>
  <c r="AJ144" i="1"/>
  <c r="AD187" i="1"/>
  <c r="AE192" i="1"/>
  <c r="AH233" i="1"/>
  <c r="AJ235" i="1"/>
  <c r="AD293" i="1"/>
  <c r="AE297" i="1"/>
  <c r="AJ103" i="1"/>
  <c r="AD106" i="1"/>
  <c r="AH107" i="1"/>
  <c r="AJ187" i="1"/>
  <c r="AD190" i="1"/>
  <c r="AH192" i="1"/>
  <c r="AJ293" i="1"/>
  <c r="AD296" i="1"/>
  <c r="AH297" i="1"/>
  <c r="AG106" i="1"/>
  <c r="AK107" i="1"/>
  <c r="AD143" i="1"/>
  <c r="AD146" i="1"/>
  <c r="AG190" i="1"/>
  <c r="AK192" i="1"/>
  <c r="AH104" i="1"/>
  <c r="AJ106" i="1"/>
  <c r="AD141" i="1"/>
  <c r="AE146" i="1"/>
  <c r="AH188" i="1"/>
  <c r="AJ190" i="1"/>
  <c r="AJ141" i="1"/>
  <c r="AD144" i="1"/>
  <c r="AH146" i="1"/>
  <c r="AH293" i="1"/>
  <c r="AH232" i="1"/>
  <c r="AH187" i="1"/>
  <c r="AH141" i="1"/>
  <c r="AH103" i="1"/>
  <c r="AK292" i="1"/>
  <c r="AK231" i="1"/>
  <c r="AK186" i="1"/>
  <c r="AK140" i="1"/>
  <c r="AK102" i="1"/>
  <c r="AG12" i="1"/>
  <c r="AJ102" i="1"/>
  <c r="AK103" i="1"/>
  <c r="AJ140" i="1"/>
  <c r="AK141" i="1"/>
  <c r="AJ186" i="1"/>
  <c r="AK187" i="1"/>
  <c r="AJ231" i="1"/>
  <c r="AK232" i="1"/>
  <c r="AJ292" i="1"/>
  <c r="AF293" i="1"/>
  <c r="AF232" i="1"/>
  <c r="AF187" i="1"/>
  <c r="AF141" i="1"/>
  <c r="AF103" i="1"/>
  <c r="AH295" i="1"/>
  <c r="AH234" i="1"/>
  <c r="AH189" i="1"/>
  <c r="AH143" i="1"/>
  <c r="AH105" i="1"/>
  <c r="AF296" i="1"/>
  <c r="AF235" i="1"/>
  <c r="AF190" i="1"/>
  <c r="AF144" i="1"/>
  <c r="AF106" i="1"/>
  <c r="AD102" i="1"/>
  <c r="AD104" i="1"/>
  <c r="AE105" i="1"/>
  <c r="AG107" i="1"/>
  <c r="AD142" i="1"/>
  <c r="AE143" i="1"/>
  <c r="AG146" i="1"/>
  <c r="AD188" i="1"/>
  <c r="AE189" i="1"/>
  <c r="AG192" i="1"/>
  <c r="AD233" i="1"/>
  <c r="AE234" i="1"/>
  <c r="AG236" i="1"/>
  <c r="AE296" i="1"/>
  <c r="AE235" i="1"/>
  <c r="AE190" i="1"/>
  <c r="AE144" i="1"/>
  <c r="AE106" i="1"/>
  <c r="AI297" i="1"/>
  <c r="AI236" i="1"/>
  <c r="AI192" i="1"/>
  <c r="AI146" i="1"/>
  <c r="AI107" i="1"/>
  <c r="AH12" i="1"/>
  <c r="AI292" i="1"/>
  <c r="AI231" i="1"/>
  <c r="AI186" i="1"/>
  <c r="AI140" i="1"/>
  <c r="AI102" i="1"/>
  <c r="AI12" i="1"/>
  <c r="AE294" i="1"/>
  <c r="AE233" i="1"/>
  <c r="AE188" i="1"/>
  <c r="AE142" i="1"/>
  <c r="AE104" i="1"/>
  <c r="AK294" i="1"/>
  <c r="AK233" i="1"/>
  <c r="AK188" i="1"/>
  <c r="AK142" i="1"/>
  <c r="AK104" i="1"/>
  <c r="AK12" i="1"/>
  <c r="AE103" i="1"/>
  <c r="AG104" i="1"/>
  <c r="AG105" i="1"/>
  <c r="AH106" i="1"/>
  <c r="AD140" i="1"/>
  <c r="AE141" i="1"/>
  <c r="AG142" i="1"/>
  <c r="AG143" i="1"/>
  <c r="AH144" i="1"/>
  <c r="AD186" i="1"/>
  <c r="AE187" i="1"/>
  <c r="AG188" i="1"/>
  <c r="AG189" i="1"/>
  <c r="AH190" i="1"/>
  <c r="AD231" i="1"/>
  <c r="AE232" i="1"/>
  <c r="AG233" i="1"/>
  <c r="AG234" i="1"/>
  <c r="AH235" i="1"/>
  <c r="AD292" i="1"/>
  <c r="AF294" i="1"/>
  <c r="AF233" i="1"/>
  <c r="AF188" i="1"/>
  <c r="AF142" i="1"/>
  <c r="AF104" i="1"/>
  <c r="AF297" i="1"/>
  <c r="AF236" i="1"/>
  <c r="AF192" i="1"/>
  <c r="AF146" i="1"/>
  <c r="AF107" i="1"/>
  <c r="AG102" i="1"/>
  <c r="AG103" i="1"/>
  <c r="AJ105" i="1"/>
  <c r="AJ107" i="1"/>
  <c r="AG140" i="1"/>
  <c r="AG141" i="1"/>
  <c r="AJ143" i="1"/>
  <c r="AJ146" i="1"/>
  <c r="AG186" i="1"/>
  <c r="AG187" i="1"/>
  <c r="AJ189" i="1"/>
  <c r="AJ192" i="1"/>
  <c r="AG231" i="1"/>
  <c r="AG232" i="1"/>
  <c r="AJ234" i="1"/>
  <c r="AJ236" i="1"/>
  <c r="AI294" i="1"/>
  <c r="AI233" i="1"/>
  <c r="AI188" i="1"/>
  <c r="AI142" i="1"/>
  <c r="AI104" i="1"/>
  <c r="AK296" i="1"/>
  <c r="AK235" i="1"/>
  <c r="AK190" i="1"/>
  <c r="AK144" i="1"/>
  <c r="AK106" i="1"/>
  <c r="AE292" i="1"/>
  <c r="AE231" i="1"/>
  <c r="AE186" i="1"/>
  <c r="AE140" i="1"/>
  <c r="AI293" i="1"/>
  <c r="AI232" i="1"/>
  <c r="AI187" i="1"/>
  <c r="AI141" i="1"/>
  <c r="AI103" i="1"/>
  <c r="AI296" i="1"/>
  <c r="AI235" i="1"/>
  <c r="AI190" i="1"/>
  <c r="AI144" i="1"/>
  <c r="AI106" i="1"/>
  <c r="AE12" i="1"/>
  <c r="AH102" i="1"/>
  <c r="AJ104" i="1"/>
  <c r="AK105" i="1"/>
  <c r="AH140" i="1"/>
  <c r="AJ142" i="1"/>
  <c r="AK143" i="1"/>
  <c r="AH186" i="1"/>
  <c r="AJ188" i="1"/>
  <c r="AK189" i="1"/>
  <c r="AH231" i="1"/>
  <c r="AJ233" i="1"/>
  <c r="AK234" i="1"/>
  <c r="AF105" i="1"/>
  <c r="AF143" i="1"/>
  <c r="AF189" i="1"/>
  <c r="AF234" i="1"/>
  <c r="AF12" i="1"/>
  <c r="AF102" i="1"/>
  <c r="AI105" i="1"/>
  <c r="AF140" i="1"/>
  <c r="AI143" i="1"/>
  <c r="AF186" i="1"/>
  <c r="AI189" i="1"/>
  <c r="AF231" i="1"/>
  <c r="AI234" i="1"/>
  <c r="AD147" i="1" l="1"/>
  <c r="AD108" i="1"/>
  <c r="AD194" i="1"/>
  <c r="AJ298" i="1"/>
  <c r="AD237" i="1"/>
  <c r="AJ237" i="1"/>
  <c r="AJ108" i="1"/>
  <c r="AJ194" i="1"/>
  <c r="AI298" i="1"/>
  <c r="AI237" i="1"/>
  <c r="AI194" i="1"/>
  <c r="AI147" i="1"/>
  <c r="AI108" i="1"/>
  <c r="AH298" i="1"/>
  <c r="AH237" i="1"/>
  <c r="AH194" i="1"/>
  <c r="AH147" i="1"/>
  <c r="AH108" i="1"/>
  <c r="AG298" i="1"/>
  <c r="AG237" i="1"/>
  <c r="AG194" i="1"/>
  <c r="AG147" i="1"/>
  <c r="AG108" i="1"/>
  <c r="AK298" i="1"/>
  <c r="AK237" i="1"/>
  <c r="AK194" i="1"/>
  <c r="AK147" i="1"/>
  <c r="AK108" i="1"/>
  <c r="AE298" i="1"/>
  <c r="AE237" i="1"/>
  <c r="AE194" i="1"/>
  <c r="AE147" i="1"/>
  <c r="AE108" i="1"/>
  <c r="AF298" i="1"/>
  <c r="AF237" i="1"/>
  <c r="AF194" i="1"/>
  <c r="AF147" i="1"/>
  <c r="AF108" i="1"/>
</calcChain>
</file>

<file path=xl/sharedStrings.xml><?xml version="1.0" encoding="utf-8"?>
<sst xmlns="http://schemas.openxmlformats.org/spreadsheetml/2006/main" count="4208" uniqueCount="778">
  <si>
    <t>地区</t>
  </si>
  <si>
    <t>業種</t>
  </si>
  <si>
    <t>確認</t>
  </si>
  <si>
    <t>整理番号</t>
  </si>
  <si>
    <t>登録番号</t>
  </si>
  <si>
    <t>契約物件</t>
  </si>
  <si>
    <t>計量</t>
  </si>
  <si>
    <t>電話番号</t>
  </si>
  <si>
    <t>月曜日</t>
  </si>
  <si>
    <t>火曜日</t>
  </si>
  <si>
    <t>水曜日</t>
  </si>
  <si>
    <t>木曜日</t>
  </si>
  <si>
    <t>金曜日</t>
  </si>
  <si>
    <t>土曜日</t>
  </si>
  <si>
    <t>金属</t>
  </si>
  <si>
    <t>木曜段紙</t>
  </si>
  <si>
    <t>備考2</t>
  </si>
  <si>
    <t>備考</t>
  </si>
  <si>
    <t>収集時間</t>
  </si>
  <si>
    <t>回収曜日(月）</t>
  </si>
  <si>
    <t>回収曜日(火）</t>
  </si>
  <si>
    <t>回収曜日(水）</t>
  </si>
  <si>
    <t>回収曜日(木）</t>
  </si>
  <si>
    <t>回収曜日(金）</t>
  </si>
  <si>
    <t>回収曜日(土）</t>
  </si>
  <si>
    <t>四十九</t>
  </si>
  <si>
    <t>買い物</t>
  </si>
  <si>
    <t>未</t>
  </si>
  <si>
    <t>ピアゴルフ</t>
  </si>
  <si>
    <t>24-6678</t>
  </si>
  <si>
    <t>N-</t>
  </si>
  <si>
    <t>K-</t>
  </si>
  <si>
    <t>㊋</t>
  </si>
  <si>
    <t>㊎</t>
  </si>
  <si>
    <t>車 ガソリン</t>
  </si>
  <si>
    <t>ネッツトヨタ</t>
  </si>
  <si>
    <t>段紙</t>
  </si>
  <si>
    <t>列</t>
  </si>
  <si>
    <t>月曜</t>
  </si>
  <si>
    <t>火曜</t>
  </si>
  <si>
    <t>水曜金属</t>
  </si>
  <si>
    <t>水曜</t>
  </si>
  <si>
    <t>木曜</t>
  </si>
  <si>
    <t>金曜</t>
  </si>
  <si>
    <t>土曜</t>
  </si>
  <si>
    <t>三重トヨペット</t>
  </si>
  <si>
    <t>21-2225</t>
  </si>
  <si>
    <t>Boibom</t>
  </si>
  <si>
    <t>㊊</t>
  </si>
  <si>
    <t>㊍</t>
  </si>
  <si>
    <t>飲食</t>
  </si>
  <si>
    <t>スターバックスコーヒー</t>
  </si>
  <si>
    <t>kg</t>
  </si>
  <si>
    <t>〇</t>
  </si>
  <si>
    <t>㊌</t>
  </si>
  <si>
    <t>㊏</t>
  </si>
  <si>
    <t>イオンタウン可燃</t>
  </si>
  <si>
    <t>26-7888</t>
  </si>
  <si>
    <t>段ボール・PET</t>
  </si>
  <si>
    <t>マックスバリュ可燃</t>
  </si>
  <si>
    <t>22-1555</t>
  </si>
  <si>
    <t>段・PET・アルミ・牛乳</t>
  </si>
  <si>
    <t>イオンタウン段紙</t>
  </si>
  <si>
    <t>N-（西山）</t>
  </si>
  <si>
    <t>マックス段紙</t>
  </si>
  <si>
    <t>マックスPETアルミ紙P</t>
  </si>
  <si>
    <t>PET アルミ</t>
  </si>
  <si>
    <t>M-</t>
  </si>
  <si>
    <t>マックス発泡</t>
  </si>
  <si>
    <t>発泡</t>
  </si>
  <si>
    <t>計</t>
  </si>
  <si>
    <t>ビッグモーター</t>
  </si>
  <si>
    <t>22-8833</t>
  </si>
  <si>
    <t>会社　商店</t>
  </si>
  <si>
    <t>関東電化ファインテック</t>
  </si>
  <si>
    <t>マンション</t>
  </si>
  <si>
    <t>フォーティーナイン</t>
  </si>
  <si>
    <t>違反ゴミのみ</t>
  </si>
  <si>
    <t>第1第3水曜日</t>
  </si>
  <si>
    <t>介護</t>
  </si>
  <si>
    <t>みんなの家</t>
  </si>
  <si>
    <t>26-4165</t>
  </si>
  <si>
    <t>なごみの家</t>
  </si>
  <si>
    <t>ジャルディーノブリリオ（大和リビング）</t>
  </si>
  <si>
    <t>金属第4水曜日</t>
  </si>
  <si>
    <t>中華料理輝龍</t>
  </si>
  <si>
    <t>卸団地</t>
  </si>
  <si>
    <t>中電配電サポート</t>
  </si>
  <si>
    <t>アイルライン問屋倉庫</t>
  </si>
  <si>
    <t>鎌苅乳販</t>
  </si>
  <si>
    <t>21-1930</t>
  </si>
  <si>
    <t>内金</t>
  </si>
  <si>
    <t>23-5311</t>
  </si>
  <si>
    <t>岩野屋</t>
  </si>
  <si>
    <t>21-0236</t>
  </si>
  <si>
    <t>官公庁</t>
  </si>
  <si>
    <t>旧県民局（伊賀庁舎）</t>
  </si>
  <si>
    <t>24-8000</t>
  </si>
  <si>
    <t>病院　薬</t>
  </si>
  <si>
    <t>フラワー薬局四十九店</t>
  </si>
  <si>
    <t>24-1193</t>
  </si>
  <si>
    <t>太陽作業所 ひらそる</t>
  </si>
  <si>
    <t>コンビニ</t>
  </si>
  <si>
    <t>セブンイレブン四十九店</t>
  </si>
  <si>
    <t>袋</t>
  </si>
  <si>
    <t>1/31~</t>
  </si>
  <si>
    <t>桑町</t>
  </si>
  <si>
    <t>太陽作業所</t>
  </si>
  <si>
    <t>ファーストウイン</t>
  </si>
  <si>
    <t>21-3286</t>
  </si>
  <si>
    <t>マルベリーハイアット1.3</t>
  </si>
  <si>
    <t>第1.3水</t>
  </si>
  <si>
    <t>（株）新和工業社員寮</t>
  </si>
  <si>
    <t>6月8日～</t>
  </si>
  <si>
    <t>可燃のみ</t>
  </si>
  <si>
    <t>銀座通り</t>
  </si>
  <si>
    <t>クスリのアオキ伊賀上野店</t>
  </si>
  <si>
    <t>よい子のお家 ばしょう</t>
  </si>
  <si>
    <t>国土省</t>
  </si>
  <si>
    <t>21-3011</t>
  </si>
  <si>
    <t>ほっともっと桑町店</t>
  </si>
  <si>
    <t>26-3025</t>
  </si>
  <si>
    <t>銀行</t>
  </si>
  <si>
    <t>百五銀行　上野支店</t>
  </si>
  <si>
    <t>23-7105</t>
  </si>
  <si>
    <t>ポットローズ</t>
  </si>
  <si>
    <t>大東建託パートナーズ</t>
  </si>
  <si>
    <t>10/1~</t>
  </si>
  <si>
    <t>堀川石油　銀座店</t>
  </si>
  <si>
    <t>21-4754</t>
  </si>
  <si>
    <t>金属1.3</t>
  </si>
  <si>
    <t>ヘアカット</t>
  </si>
  <si>
    <t>NEVY</t>
  </si>
  <si>
    <t>伊賀肉やまもと</t>
  </si>
  <si>
    <t>立正佼成会</t>
  </si>
  <si>
    <t>ジェンティーレイガウエノ</t>
  </si>
  <si>
    <t>中川歯科</t>
  </si>
  <si>
    <t>セブンイレブン伊賀忍者駅南店</t>
  </si>
  <si>
    <t>花市場</t>
  </si>
  <si>
    <t>武田歯科</t>
  </si>
  <si>
    <t>九庵</t>
  </si>
  <si>
    <t>21-5859</t>
  </si>
  <si>
    <t>9時半～</t>
  </si>
  <si>
    <t>万川集海忍者体験施設</t>
  </si>
  <si>
    <t>フラット立石（銀座）</t>
  </si>
  <si>
    <t>旧上野庁舎</t>
  </si>
  <si>
    <t>近畿不動産</t>
  </si>
  <si>
    <t>48-7779</t>
  </si>
  <si>
    <t>第３週は金曜日</t>
  </si>
  <si>
    <t>新聞</t>
  </si>
  <si>
    <t>読売新聞　上野支局</t>
  </si>
  <si>
    <t>21-5143</t>
  </si>
  <si>
    <t>12時～</t>
  </si>
  <si>
    <t>リエート</t>
  </si>
  <si>
    <t>JEWRL</t>
  </si>
  <si>
    <t>森田クリニック</t>
  </si>
  <si>
    <t>22-2233</t>
  </si>
  <si>
    <t>金属1</t>
  </si>
  <si>
    <t>エスペランサ薬局</t>
  </si>
  <si>
    <t>24-5660</t>
  </si>
  <si>
    <t>清水眼科</t>
  </si>
  <si>
    <t>23-0718</t>
  </si>
  <si>
    <t>丸ノ内</t>
  </si>
  <si>
    <t>GEO　ゲオ</t>
  </si>
  <si>
    <t>26-7601</t>
  </si>
  <si>
    <t>滋賀銀行</t>
  </si>
  <si>
    <t>21-3326</t>
  </si>
  <si>
    <t>検察庁</t>
  </si>
  <si>
    <t>21-0492</t>
  </si>
  <si>
    <t>裁判所</t>
  </si>
  <si>
    <t>21-0002</t>
  </si>
  <si>
    <t>ハイトメゾン丸之内</t>
  </si>
  <si>
    <t>魚民</t>
  </si>
  <si>
    <t>24-1788</t>
  </si>
  <si>
    <t>石田サイクルビル</t>
  </si>
  <si>
    <t>あすなろ薬局</t>
  </si>
  <si>
    <t>24-9393</t>
  </si>
  <si>
    <t>午前中</t>
  </si>
  <si>
    <t>医療法人アクアクリニック</t>
  </si>
  <si>
    <t>プラザあかもん</t>
  </si>
  <si>
    <t>個別教室のトライ</t>
  </si>
  <si>
    <t>上野高校</t>
  </si>
  <si>
    <t>21-2550</t>
  </si>
  <si>
    <t>富々</t>
  </si>
  <si>
    <t>備考欄</t>
  </si>
  <si>
    <t>耕田090-6591-7086</t>
  </si>
  <si>
    <t>パン工房　マームベランダ</t>
  </si>
  <si>
    <t>51-6996</t>
  </si>
  <si>
    <t>11/10開始</t>
  </si>
  <si>
    <t>三重ワークサービス</t>
  </si>
  <si>
    <t>21-8037</t>
  </si>
  <si>
    <t>カフェ碧（みどり）</t>
  </si>
  <si>
    <t>24-3001</t>
  </si>
  <si>
    <t>城北</t>
  </si>
  <si>
    <t>服部歯科</t>
  </si>
  <si>
    <t>感染ごみ回収不可</t>
  </si>
  <si>
    <t>ヒロタ薬局</t>
  </si>
  <si>
    <t>48-6700</t>
  </si>
  <si>
    <t>1月8日開始</t>
  </si>
  <si>
    <t>ラム―</t>
  </si>
  <si>
    <t>サンドラッグ</t>
  </si>
  <si>
    <t>Bワ-ルド</t>
  </si>
  <si>
    <t>コメリ</t>
  </si>
  <si>
    <t>26-3310</t>
  </si>
  <si>
    <t>西松屋</t>
  </si>
  <si>
    <t>21-1885</t>
  </si>
  <si>
    <t>プロマーケット</t>
  </si>
  <si>
    <t>48-7310</t>
  </si>
  <si>
    <t>はるやま</t>
  </si>
  <si>
    <t>22-1210</t>
  </si>
  <si>
    <t>10時までに</t>
  </si>
  <si>
    <t>ハミング</t>
  </si>
  <si>
    <t>味神館</t>
  </si>
  <si>
    <t>23-5761</t>
  </si>
  <si>
    <t>吉野家</t>
  </si>
  <si>
    <t>26-5782</t>
  </si>
  <si>
    <t>ビッグエコー</t>
  </si>
  <si>
    <t>23-2242</t>
  </si>
  <si>
    <t>ソフトバンク</t>
  </si>
  <si>
    <t>26-1515</t>
  </si>
  <si>
    <t>ナリス化粧品</t>
  </si>
  <si>
    <t>王将</t>
  </si>
  <si>
    <t>24-8863</t>
  </si>
  <si>
    <t>セカンドストリート</t>
  </si>
  <si>
    <t>小田</t>
  </si>
  <si>
    <t>小川整備</t>
  </si>
  <si>
    <t>0120-481-532</t>
  </si>
  <si>
    <t>ライフテクノサービス</t>
  </si>
  <si>
    <t>ブラコウジ</t>
  </si>
  <si>
    <t>あゆみの</t>
  </si>
  <si>
    <t>ハートヒルⅢ</t>
  </si>
  <si>
    <t>創価学会</t>
  </si>
  <si>
    <t>26-7571</t>
  </si>
  <si>
    <t>おりがみ薬局</t>
  </si>
  <si>
    <t>41-0240</t>
  </si>
  <si>
    <t>セイムス伊賀小田店</t>
  </si>
  <si>
    <t>セブンイレブン平野北谷店</t>
  </si>
  <si>
    <t>24-0877</t>
  </si>
  <si>
    <t>トゥルーハート</t>
  </si>
  <si>
    <t>090-5616-3265神谷</t>
  </si>
  <si>
    <t>ポナール駒</t>
  </si>
  <si>
    <t>積和トータルサポート神谷</t>
  </si>
  <si>
    <t>H</t>
  </si>
  <si>
    <t>I</t>
  </si>
  <si>
    <t>J</t>
  </si>
  <si>
    <t>K</t>
  </si>
  <si>
    <t>L</t>
  </si>
  <si>
    <t>M</t>
  </si>
  <si>
    <t>N</t>
  </si>
  <si>
    <t>O</t>
  </si>
  <si>
    <t>ハイツホワイトピジョン</t>
  </si>
  <si>
    <t>鳩岡090-6084-3189</t>
  </si>
  <si>
    <t>モンノーブル</t>
  </si>
  <si>
    <t>洋服の青山</t>
  </si>
  <si>
    <t>24-2950</t>
  </si>
  <si>
    <t>Crece クレス</t>
  </si>
  <si>
    <t>26-4066</t>
  </si>
  <si>
    <t>憩の里</t>
  </si>
  <si>
    <t>48-7721</t>
  </si>
  <si>
    <t>特別養護老人ホーム伊賀の街</t>
  </si>
  <si>
    <t>41-1120</t>
  </si>
  <si>
    <t>カットA</t>
  </si>
  <si>
    <t>44-6138</t>
  </si>
  <si>
    <t>堀川石油　小田店</t>
  </si>
  <si>
    <t>24-2690</t>
  </si>
  <si>
    <t>Q's garden</t>
  </si>
  <si>
    <t>白鳳通り</t>
  </si>
  <si>
    <t>すき家</t>
  </si>
  <si>
    <t>0120-498-007</t>
  </si>
  <si>
    <t>フレックスホテル</t>
  </si>
  <si>
    <t>21-3111</t>
  </si>
  <si>
    <t>古本市場</t>
  </si>
  <si>
    <t>21-8630</t>
  </si>
  <si>
    <t>耕田ハイツ</t>
  </si>
  <si>
    <t>リオ．エクセレント</t>
  </si>
  <si>
    <t>杉本商事</t>
  </si>
  <si>
    <t>21-7611</t>
  </si>
  <si>
    <t>トヨタレンタリース</t>
  </si>
  <si>
    <t>23-0100</t>
  </si>
  <si>
    <t>パーティーハウス</t>
  </si>
  <si>
    <t>24-3556</t>
  </si>
  <si>
    <t>JA伊賀</t>
  </si>
  <si>
    <t>24-5111</t>
  </si>
  <si>
    <t>JAひぞっこ</t>
  </si>
  <si>
    <t>21-0831</t>
  </si>
  <si>
    <t>可燃昼から</t>
  </si>
  <si>
    <t>ソレイユ白鳳店</t>
  </si>
  <si>
    <t>24-8888</t>
  </si>
  <si>
    <t>シャーメゾンステージ平野西町</t>
  </si>
  <si>
    <t>M‐CROSS西町</t>
  </si>
  <si>
    <t>森辻亭</t>
  </si>
  <si>
    <t>23-5677</t>
  </si>
  <si>
    <t>D-SQUARE 平野西町 ディースクエア</t>
  </si>
  <si>
    <t>D-SQUARE 平野樋之口 ディースクエア</t>
  </si>
  <si>
    <t>Bell Harmonie　ベルアルモニー</t>
  </si>
  <si>
    <t>大和ビルディング</t>
  </si>
  <si>
    <t>喜々</t>
  </si>
  <si>
    <t>ほっともっと白鳳店</t>
  </si>
  <si>
    <t>26-3515</t>
  </si>
  <si>
    <t>森田院長宅</t>
  </si>
  <si>
    <t>RAIVE レイヴ</t>
  </si>
  <si>
    <t>41-1828</t>
  </si>
  <si>
    <t>PACHA!　 パチャ</t>
  </si>
  <si>
    <t>セブンイレブン伊賀平野東町店</t>
  </si>
  <si>
    <t>M‐CROSS</t>
  </si>
  <si>
    <t>Mast Terrace マストテラス平野東町</t>
  </si>
  <si>
    <t>059-213-5080</t>
  </si>
  <si>
    <t>D-SQUARE 平野東町 ディースクエア</t>
  </si>
  <si>
    <t>おはよう薬局</t>
  </si>
  <si>
    <t>24-0931</t>
  </si>
  <si>
    <t>Mast Terrace マストテラス服部町</t>
  </si>
  <si>
    <t>法務局</t>
  </si>
  <si>
    <t>21-0804</t>
  </si>
  <si>
    <t>リヴィエール上野</t>
  </si>
  <si>
    <t>クスリのアオキ平野東店</t>
  </si>
  <si>
    <t>41-2250</t>
  </si>
  <si>
    <t>中瀬</t>
  </si>
  <si>
    <t>堀川石油　中瀬</t>
  </si>
  <si>
    <t>24-4040</t>
  </si>
  <si>
    <t>一光　中瀬</t>
  </si>
  <si>
    <t>23-9925</t>
  </si>
  <si>
    <t>コカ・コーラ</t>
  </si>
  <si>
    <t>23-1828</t>
  </si>
  <si>
    <t>袋数事務所で記入</t>
  </si>
  <si>
    <t>府中</t>
  </si>
  <si>
    <t>岡山邸</t>
  </si>
  <si>
    <t>小川モータース</t>
  </si>
  <si>
    <t>フラット立石</t>
  </si>
  <si>
    <t>63-5430</t>
  </si>
  <si>
    <t>フラワー薬局土橋</t>
  </si>
  <si>
    <t>21-3993</t>
  </si>
  <si>
    <t>吉村クリニック</t>
  </si>
  <si>
    <t>22-2121</t>
  </si>
  <si>
    <t>三重ダイハツ</t>
  </si>
  <si>
    <t>24-0757</t>
  </si>
  <si>
    <t>ニューセビロード</t>
  </si>
  <si>
    <t>あみやき亭</t>
  </si>
  <si>
    <t>26-4129</t>
  </si>
  <si>
    <t>セイムス</t>
  </si>
  <si>
    <t>22-8611</t>
  </si>
  <si>
    <t>パインケープ</t>
  </si>
  <si>
    <t>佐那具</t>
  </si>
  <si>
    <t>ヤマホ</t>
  </si>
  <si>
    <t>23-4300</t>
  </si>
  <si>
    <t>JAいがふるさと 上野東支店</t>
  </si>
  <si>
    <t>いがっこ佐那具給食センター</t>
  </si>
  <si>
    <t>セブンイレブン伊賀東条店</t>
  </si>
  <si>
    <t>△</t>
  </si>
  <si>
    <t>廣嶋建材株式会社</t>
  </si>
  <si>
    <t>21-3936</t>
  </si>
  <si>
    <t>１時～３時</t>
  </si>
  <si>
    <t>上野チキン</t>
  </si>
  <si>
    <t>23-6801</t>
  </si>
  <si>
    <t>フレコン持ち帰り</t>
  </si>
  <si>
    <t>ウインディア　パーク</t>
  </si>
  <si>
    <t>金丸脳脊椎外科クリニック</t>
  </si>
  <si>
    <t>41-1192</t>
  </si>
  <si>
    <t>ラクティーアーバンビレッｼﾞ</t>
  </si>
  <si>
    <t>（株）イガコー</t>
  </si>
  <si>
    <t>読売新聞　上野北</t>
  </si>
  <si>
    <t>24-9394</t>
  </si>
  <si>
    <t>1時以降</t>
  </si>
  <si>
    <t>グループホーム　あぽろん</t>
  </si>
  <si>
    <t>ネオ　ハイツ　ロコ</t>
  </si>
  <si>
    <t>甲賀高分子</t>
  </si>
  <si>
    <t>22-0701</t>
  </si>
  <si>
    <t>萩原工業</t>
  </si>
  <si>
    <t>26-3801</t>
  </si>
  <si>
    <t>RAJA</t>
  </si>
  <si>
    <t>45-7003</t>
  </si>
  <si>
    <t>新和工業 佐那具事業所</t>
  </si>
  <si>
    <t>南出産業</t>
  </si>
  <si>
    <t>45-5647</t>
  </si>
  <si>
    <t>マックスバリュー佐那具</t>
  </si>
  <si>
    <t>23-8681</t>
  </si>
  <si>
    <t>東名ロードメンテナンス(有)上野出張所</t>
  </si>
  <si>
    <t>(株）Tosama</t>
  </si>
  <si>
    <t>農業屋</t>
  </si>
  <si>
    <t>45-7510</t>
  </si>
  <si>
    <t>BOOKMARK STORAGE (新堂駅）</t>
  </si>
  <si>
    <t>伊賀町</t>
  </si>
  <si>
    <t>フラット立石（新堂）</t>
  </si>
  <si>
    <t>フラット立石（柘植）</t>
  </si>
  <si>
    <t>瑞祥園</t>
  </si>
  <si>
    <t>個人</t>
  </si>
  <si>
    <t>清水宅</t>
  </si>
  <si>
    <t>厚板プレス工業</t>
  </si>
  <si>
    <t>45-3151</t>
  </si>
  <si>
    <t>旅籠屋</t>
  </si>
  <si>
    <t>45-6858</t>
  </si>
  <si>
    <t>フラワー薬局 柘植店</t>
  </si>
  <si>
    <t>45-1193</t>
  </si>
  <si>
    <t>上野上柘植トラックセンター</t>
  </si>
  <si>
    <t>45-8877</t>
  </si>
  <si>
    <t>伊賀神戸</t>
  </si>
  <si>
    <t>伊賀ゴルフ</t>
  </si>
  <si>
    <t>63-1275　</t>
  </si>
  <si>
    <t>伊賀神戸駅</t>
  </si>
  <si>
    <t>38-1304　</t>
  </si>
  <si>
    <t>木治歯科</t>
  </si>
  <si>
    <t>36-1255　</t>
  </si>
  <si>
    <t>ニチイケアサービス</t>
  </si>
  <si>
    <t>36-9726</t>
  </si>
  <si>
    <t>橋本精機</t>
  </si>
  <si>
    <t>38-1944</t>
  </si>
  <si>
    <t>ジェーワン</t>
  </si>
  <si>
    <t>38-1538</t>
  </si>
  <si>
    <t>久米</t>
  </si>
  <si>
    <t>プレイヤード作業所</t>
  </si>
  <si>
    <t>上ノ庄</t>
  </si>
  <si>
    <t>ナフコ伊賀店</t>
  </si>
  <si>
    <t>26-1731</t>
  </si>
  <si>
    <t>岡波病院</t>
  </si>
  <si>
    <t>21-3135</t>
  </si>
  <si>
    <t>玉森マンション</t>
  </si>
  <si>
    <t>　　　</t>
  </si>
  <si>
    <t>堀川石油　ニューセルフ</t>
  </si>
  <si>
    <t>21-7033</t>
  </si>
  <si>
    <t>ダイカ</t>
  </si>
  <si>
    <t>24-2071</t>
  </si>
  <si>
    <t>東研サーモテック</t>
  </si>
  <si>
    <t>63-5321</t>
  </si>
  <si>
    <t>安場</t>
  </si>
  <si>
    <t>グループホームあんだんて</t>
  </si>
  <si>
    <t>39-1900　</t>
  </si>
  <si>
    <t>白樫</t>
  </si>
  <si>
    <t>福田工業㈱</t>
  </si>
  <si>
    <t>ノアーズアーク</t>
  </si>
  <si>
    <t>65-9898</t>
  </si>
  <si>
    <t>大栄中村</t>
  </si>
  <si>
    <t>ク ラ コ</t>
  </si>
  <si>
    <t>24-3221</t>
  </si>
  <si>
    <t>飯田金属工業</t>
  </si>
  <si>
    <t>24-5050</t>
  </si>
  <si>
    <t>遊士屋</t>
  </si>
  <si>
    <t xml:space="preserve">白樫 </t>
  </si>
  <si>
    <t>やさいの戸島屋</t>
  </si>
  <si>
    <t>大村紙業</t>
  </si>
  <si>
    <t>20-1326</t>
  </si>
  <si>
    <t>スミロン</t>
  </si>
  <si>
    <t>ミナルコ</t>
  </si>
  <si>
    <t>20-1201</t>
  </si>
  <si>
    <t>チョーヤ梅酒</t>
  </si>
  <si>
    <t>20-2255</t>
  </si>
  <si>
    <t>ヤシマナダ三重工場</t>
  </si>
  <si>
    <t>20-1155</t>
  </si>
  <si>
    <t>大阪バネ工業</t>
  </si>
  <si>
    <t>治田</t>
  </si>
  <si>
    <t>一光　治田</t>
  </si>
  <si>
    <t>20-1196</t>
  </si>
  <si>
    <t>　</t>
  </si>
  <si>
    <t>福田工業 治田工場</t>
  </si>
  <si>
    <t>瀬戸川原花苑</t>
  </si>
  <si>
    <t>20-9777</t>
  </si>
  <si>
    <t>大同工業</t>
  </si>
  <si>
    <t>20-1818</t>
  </si>
  <si>
    <t>錦城ゴム</t>
  </si>
  <si>
    <t>20-1857</t>
  </si>
  <si>
    <t>梨の木園</t>
  </si>
  <si>
    <t>島ヶ原</t>
  </si>
  <si>
    <t>豊正</t>
  </si>
  <si>
    <t>24-2712</t>
  </si>
  <si>
    <t>郵便局</t>
  </si>
  <si>
    <t>岩倉郵便局</t>
  </si>
  <si>
    <t>21-4296</t>
  </si>
  <si>
    <t>ふる里</t>
  </si>
  <si>
    <t>21-4498</t>
  </si>
  <si>
    <t>島ヶ原ゴルフ</t>
  </si>
  <si>
    <t>59-3111</t>
  </si>
  <si>
    <t>島ヶ原郵便局</t>
  </si>
  <si>
    <t>59-2500</t>
  </si>
  <si>
    <t>フラワー薬局　島ヶ原</t>
  </si>
  <si>
    <t>59-9311</t>
  </si>
  <si>
    <t>OKキャンプ</t>
  </si>
  <si>
    <t>59-2079</t>
  </si>
  <si>
    <t>夏休み中月金</t>
  </si>
  <si>
    <t>3月～11月</t>
  </si>
  <si>
    <t>やぶっちゃらんど</t>
  </si>
  <si>
    <t>59-3939</t>
  </si>
  <si>
    <t>株式会社　MCS</t>
  </si>
  <si>
    <t>金属PETを一緒に運ぶ</t>
  </si>
  <si>
    <t>三田</t>
  </si>
  <si>
    <t>虹の家</t>
  </si>
  <si>
    <t>26-6555</t>
  </si>
  <si>
    <t>奥中　ブリーダー</t>
  </si>
  <si>
    <t>080-5162-6148</t>
  </si>
  <si>
    <t>リアルプロダクト</t>
  </si>
  <si>
    <t>24-5471</t>
  </si>
  <si>
    <t>中日三重サービス</t>
  </si>
  <si>
    <t>#</t>
  </si>
  <si>
    <t>三田マンション</t>
  </si>
  <si>
    <t>エスペランザ</t>
  </si>
  <si>
    <t>26-2625</t>
  </si>
  <si>
    <t>ドリームハイツ</t>
  </si>
  <si>
    <t>桂ハイツ</t>
  </si>
  <si>
    <t>ナカテック</t>
  </si>
  <si>
    <t>26-7212</t>
  </si>
  <si>
    <t>メディﾂク</t>
  </si>
  <si>
    <t>23-9436</t>
  </si>
  <si>
    <t>車坂</t>
  </si>
  <si>
    <t>谷本整形</t>
  </si>
  <si>
    <t>21-0934</t>
  </si>
  <si>
    <t>森辻本店</t>
  </si>
  <si>
    <t>21-0505</t>
  </si>
  <si>
    <t>緑ヶ丘</t>
  </si>
  <si>
    <t>サックスデザイン</t>
  </si>
  <si>
    <t>パナソニックテクニカル</t>
  </si>
  <si>
    <t>23-1214</t>
  </si>
  <si>
    <t>ハイツミヤタ</t>
  </si>
  <si>
    <t>セブンイレブン緑ヶ丘東町店</t>
  </si>
  <si>
    <t>24-8677</t>
  </si>
  <si>
    <t>5/31~</t>
  </si>
  <si>
    <t>上野税務署</t>
  </si>
  <si>
    <t>セブンイレブン緑ヶ丘本町店</t>
  </si>
  <si>
    <t>24-5113</t>
  </si>
  <si>
    <t>7/28~</t>
  </si>
  <si>
    <t>セブンイレブンゆめが丘北口店</t>
  </si>
  <si>
    <t>3/16~</t>
  </si>
  <si>
    <t>川口アパート</t>
  </si>
  <si>
    <t>エビスマンション</t>
  </si>
  <si>
    <t>21-0832</t>
  </si>
  <si>
    <t>エビスコーポ</t>
  </si>
  <si>
    <t>エバーグリーン</t>
  </si>
  <si>
    <t>クラリティ雅</t>
  </si>
  <si>
    <t>SHOICHI</t>
  </si>
  <si>
    <t>吉岡税理</t>
  </si>
  <si>
    <t>21-1747</t>
  </si>
  <si>
    <t>michi</t>
  </si>
  <si>
    <t>ソレイユ緑ヶ丘店</t>
  </si>
  <si>
    <t>21-3754</t>
  </si>
  <si>
    <t>グリーンヒル福山</t>
  </si>
  <si>
    <t>メゾンベルト桑原工業（株）</t>
  </si>
  <si>
    <t>1.3水曜日</t>
  </si>
  <si>
    <t>いえちか　どっとこむ</t>
  </si>
  <si>
    <t>百五銀行　緑が丘支店</t>
  </si>
  <si>
    <t>24-4105</t>
  </si>
  <si>
    <t>朝日パンション</t>
  </si>
  <si>
    <t>不燃 第2第4</t>
  </si>
  <si>
    <t>太平荘</t>
  </si>
  <si>
    <t>安永　本社</t>
  </si>
  <si>
    <t>24-2111</t>
  </si>
  <si>
    <t>安永　社員寮</t>
  </si>
  <si>
    <t>可燃のみ収集</t>
  </si>
  <si>
    <t>安永　西明寺</t>
  </si>
  <si>
    <t>24-2155</t>
  </si>
  <si>
    <t>安永　運輸</t>
  </si>
  <si>
    <t>21-2913</t>
  </si>
  <si>
    <t>安永　キャスティング</t>
  </si>
  <si>
    <t>ソーシャルインクルー株式会社　SIH伊賀西明寺</t>
  </si>
  <si>
    <t>ロジスネクスト中部株式会社</t>
  </si>
  <si>
    <t>24-6464</t>
  </si>
  <si>
    <t>旧ニチユ</t>
  </si>
  <si>
    <t>富士産業株式会社</t>
  </si>
  <si>
    <t>26-1300</t>
  </si>
  <si>
    <t>フィオーレA.B</t>
  </si>
  <si>
    <t>サンピア</t>
  </si>
  <si>
    <t>24-7000</t>
  </si>
  <si>
    <t>よい子のお家伊賀</t>
  </si>
  <si>
    <t>48-7771</t>
  </si>
  <si>
    <t>090-6802-4355宇佐美</t>
  </si>
  <si>
    <t>1時～</t>
  </si>
  <si>
    <t>Heathpool</t>
  </si>
  <si>
    <t>51-4677</t>
  </si>
  <si>
    <t>松本貢次郎</t>
  </si>
  <si>
    <t>白鳳高校</t>
  </si>
  <si>
    <t>21-2110</t>
  </si>
  <si>
    <t>金属1.3.5</t>
  </si>
  <si>
    <t>城陽ネジ</t>
  </si>
  <si>
    <t>23-1351</t>
  </si>
  <si>
    <t>ラグランジュⅠ.Ⅱ</t>
  </si>
  <si>
    <t>吉川　コーポプレジール</t>
  </si>
  <si>
    <t>24-3766</t>
  </si>
  <si>
    <t>吉川　コンフォート上野</t>
  </si>
  <si>
    <t>吉川　ロジュメントAB</t>
  </si>
  <si>
    <t>幸福ハイツ</t>
  </si>
  <si>
    <t>21-1160</t>
  </si>
  <si>
    <t>雅九</t>
  </si>
  <si>
    <t>旧農業高校</t>
  </si>
  <si>
    <t>24-0123</t>
  </si>
  <si>
    <t>森辻牛舎</t>
  </si>
  <si>
    <t>夢が丘</t>
  </si>
  <si>
    <t>前田商店</t>
  </si>
  <si>
    <t>23-0168</t>
  </si>
  <si>
    <t>安永　夢が丘</t>
  </si>
  <si>
    <t>読売新聞　上野中央</t>
  </si>
  <si>
    <t>24-1638</t>
  </si>
  <si>
    <t>富士フィルムイノベーションジャパン</t>
  </si>
  <si>
    <t>夢が丘薬局</t>
  </si>
  <si>
    <t>41-0787</t>
  </si>
  <si>
    <t>月昼、木朝一</t>
  </si>
  <si>
    <t>公共施設</t>
  </si>
  <si>
    <t>夢ドーム 日本環境マネージメント</t>
  </si>
  <si>
    <t>22-0590</t>
  </si>
  <si>
    <t>第２,4木曜</t>
  </si>
  <si>
    <t>依那古</t>
  </si>
  <si>
    <t>いなこ保険薬局</t>
  </si>
  <si>
    <t>38-8555</t>
  </si>
  <si>
    <t>2時過ぎ</t>
  </si>
  <si>
    <t>水曜日金属収集表</t>
  </si>
  <si>
    <t>イオンタウン</t>
  </si>
  <si>
    <t>白鳳通</t>
  </si>
  <si>
    <t>マックスバリュ</t>
  </si>
  <si>
    <t>マルベリ</t>
  </si>
  <si>
    <t>セブン四十九</t>
  </si>
  <si>
    <t>鎌苅乳業</t>
  </si>
  <si>
    <t>JA</t>
  </si>
  <si>
    <t>セブン夢ヶ丘</t>
  </si>
  <si>
    <t>嬉々</t>
  </si>
  <si>
    <t>安永西明寺</t>
  </si>
  <si>
    <t>セブン平野東町</t>
  </si>
  <si>
    <t>コンフォート</t>
  </si>
  <si>
    <t>堀川石油中瀬</t>
  </si>
  <si>
    <t>一光中瀬</t>
  </si>
  <si>
    <t>安永本社</t>
  </si>
  <si>
    <t>いえちか</t>
  </si>
  <si>
    <t>東条</t>
  </si>
  <si>
    <t>いがっこ給食</t>
  </si>
  <si>
    <t>グリーンヒル</t>
  </si>
  <si>
    <t>セブン東条</t>
  </si>
  <si>
    <t>セブン東町</t>
  </si>
  <si>
    <t>ウィンディアパーク</t>
  </si>
  <si>
    <t>セブン本町</t>
  </si>
  <si>
    <t>マックス佐那具</t>
  </si>
  <si>
    <t>えびすコーポ</t>
  </si>
  <si>
    <t>柘植</t>
  </si>
  <si>
    <t>フラット立石　</t>
  </si>
  <si>
    <t>銀座通</t>
  </si>
  <si>
    <t>堀川石油銀座</t>
  </si>
  <si>
    <t>セブン忍者</t>
  </si>
  <si>
    <t>メディック</t>
  </si>
  <si>
    <t>ホワイトピジョン</t>
  </si>
  <si>
    <t>ビックエコー</t>
  </si>
  <si>
    <t>OKキャンプ※3月～11月</t>
  </si>
  <si>
    <t>MCS</t>
  </si>
  <si>
    <t>セブン平野北谷</t>
  </si>
  <si>
    <t>一光治田</t>
  </si>
  <si>
    <t>堀川石油小田</t>
  </si>
  <si>
    <t>物件</t>
  </si>
  <si>
    <t>１週</t>
  </si>
  <si>
    <t>２週</t>
  </si>
  <si>
    <t>３週</t>
  </si>
  <si>
    <t>４週</t>
  </si>
  <si>
    <t>５週</t>
  </si>
  <si>
    <t>伊賀ゴルフ　</t>
  </si>
  <si>
    <t>ビッグボーイ　</t>
  </si>
  <si>
    <t>ｋｇ</t>
  </si>
  <si>
    <t>伊賀神戸駅　</t>
  </si>
  <si>
    <t>堀川石油ニューセルフ</t>
  </si>
  <si>
    <t>法務局　</t>
  </si>
  <si>
    <t>モン　ノーブル</t>
  </si>
  <si>
    <t>くすりのアオキ</t>
  </si>
  <si>
    <t>イオンタウン　　</t>
  </si>
  <si>
    <t>ラムー</t>
  </si>
  <si>
    <t>マックスバリュ　</t>
  </si>
  <si>
    <t>コメリ書房</t>
  </si>
  <si>
    <t>ジャルディーノブリリオ</t>
  </si>
  <si>
    <t>OKキャンプ  3~11月</t>
  </si>
  <si>
    <t>トマト＆オニオン</t>
  </si>
  <si>
    <t>ウインディアパーク</t>
  </si>
  <si>
    <t>MCR</t>
  </si>
  <si>
    <t>サンピア　</t>
  </si>
  <si>
    <t>ネオハイツ　ロコ</t>
  </si>
  <si>
    <t>マックス　佐那具店　</t>
  </si>
  <si>
    <t>オークワ　緑が丘店</t>
  </si>
  <si>
    <t>プラザ　あかもん</t>
  </si>
  <si>
    <t>片山チェン</t>
  </si>
  <si>
    <t>古本市場　</t>
  </si>
  <si>
    <t>すき家　</t>
  </si>
  <si>
    <t>リオ　エクセレント</t>
  </si>
  <si>
    <t>各セブンイレブン</t>
  </si>
  <si>
    <t>セイムス伊賀上野店</t>
  </si>
  <si>
    <t>梨ノ木苑※オムツ13：30</t>
  </si>
  <si>
    <t>あみやき亭　</t>
  </si>
  <si>
    <t>ク ラ コ　</t>
  </si>
  <si>
    <t>伊賀の街　</t>
  </si>
  <si>
    <t>ナフコ　</t>
  </si>
  <si>
    <t>国土交通省</t>
  </si>
  <si>
    <t>安永夢が丘</t>
  </si>
  <si>
    <t>ほっともっと桑町店　</t>
  </si>
  <si>
    <t>富士フィルム</t>
  </si>
  <si>
    <t>ビッグエコー　</t>
  </si>
  <si>
    <t>安永運輸</t>
  </si>
  <si>
    <t>魚民　</t>
  </si>
  <si>
    <t>NAVY</t>
  </si>
  <si>
    <t>西松屋　</t>
  </si>
  <si>
    <t>安永キャスティング</t>
  </si>
  <si>
    <t>中川歯科※9：30</t>
  </si>
  <si>
    <t>安永本社　2か所</t>
  </si>
  <si>
    <t>忍者体験施設</t>
  </si>
  <si>
    <t>コメリ　</t>
  </si>
  <si>
    <t>セブンイレブン忍者駅南店</t>
  </si>
  <si>
    <t>SAKAKURA</t>
  </si>
  <si>
    <t>あかもんプラザ</t>
  </si>
  <si>
    <t>いがっこ給食センター</t>
  </si>
  <si>
    <t>個別教室のトライ  火金</t>
  </si>
  <si>
    <t>マックスバリュー佐那具店　</t>
  </si>
  <si>
    <t>厚板プレス工業　</t>
  </si>
  <si>
    <t>auショップ伊賀上野</t>
  </si>
  <si>
    <t>ブックマークステージ</t>
  </si>
  <si>
    <t>JAひぞっこ　</t>
  </si>
  <si>
    <t>フラワー薬局柘植店</t>
  </si>
  <si>
    <t>上柘植トラックセンター</t>
  </si>
  <si>
    <t>メゾンベルト</t>
  </si>
  <si>
    <t>※第３週目のみ</t>
  </si>
  <si>
    <t>安永社員寮　1か所</t>
  </si>
  <si>
    <t>ほっともっと白鳳店　</t>
  </si>
  <si>
    <t xml:space="preserve">セブンイレブン伊賀平野東町店 </t>
  </si>
  <si>
    <t>処理場へ（許可ゴミ）</t>
  </si>
  <si>
    <t>コカ・コーラ　袋　事務所で記入</t>
  </si>
  <si>
    <t>土曜日可燃収集表</t>
  </si>
  <si>
    <t>読売新聞上野中央 ゆめが丘</t>
  </si>
  <si>
    <t>マックスバリュ　可燃　</t>
  </si>
  <si>
    <t>イオンタウン　　可燃</t>
  </si>
  <si>
    <t>マックスバリュ佐那具店</t>
  </si>
  <si>
    <t>読売新聞上野北</t>
  </si>
  <si>
    <t xml:space="preserve">すき家 </t>
  </si>
  <si>
    <t>セブンイレブン伊賀忍者南店</t>
  </si>
  <si>
    <t>ナフコ</t>
  </si>
  <si>
    <t>平野</t>
  </si>
  <si>
    <t>※生ごみ終わってから行く↓</t>
  </si>
  <si>
    <t>マックスバリュ　PETアルミ紙P</t>
  </si>
  <si>
    <t>マックス　段ボール運搬</t>
  </si>
  <si>
    <t>イオンタウン　段ボール運搬　</t>
  </si>
  <si>
    <t>神戸駅</t>
  </si>
  <si>
    <t>マックスバリュー※蛍光灯回収不可</t>
  </si>
  <si>
    <t>安永　本社※蛍光灯回収不可</t>
  </si>
  <si>
    <t>安永　西明寺※蛍光灯回収不可</t>
  </si>
  <si>
    <t>安永　キャスティング※蛍光灯回収不可</t>
  </si>
  <si>
    <t>エスペランサ</t>
  </si>
  <si>
    <t>マックスバリュー　佐那具店</t>
  </si>
  <si>
    <t>ＯＫキャンプ※3月～11月</t>
  </si>
  <si>
    <t>島ケ原ゴルフ</t>
  </si>
  <si>
    <t>セブンイレブン</t>
  </si>
  <si>
    <t>アルミ缶</t>
  </si>
  <si>
    <t>会社車庫</t>
  </si>
  <si>
    <t>内金商事</t>
  </si>
  <si>
    <t>しげよし</t>
  </si>
  <si>
    <t>HM桑町</t>
  </si>
  <si>
    <t>伊賀庁舎</t>
  </si>
  <si>
    <t>中瀬一光石油</t>
  </si>
  <si>
    <t>ビッグボーイ</t>
  </si>
  <si>
    <t>メゾンミキヤ</t>
  </si>
  <si>
    <t>HM白鳳</t>
  </si>
  <si>
    <t>ハミングタウン</t>
  </si>
  <si>
    <t>百五銀行城北</t>
  </si>
  <si>
    <t>イオン段ボール</t>
  </si>
  <si>
    <t>アルミ</t>
  </si>
  <si>
    <t>ペット</t>
  </si>
  <si>
    <t>紙パック</t>
  </si>
  <si>
    <t>会社物件</t>
  </si>
  <si>
    <t>セブンイレブン7店舗</t>
  </si>
  <si>
    <t>ダンボール収集表</t>
  </si>
  <si>
    <t>WE CARS</t>
  </si>
  <si>
    <t>セブンイレブン四十九</t>
  </si>
  <si>
    <t>県民局</t>
  </si>
  <si>
    <t>セブンイレブンゆめが丘北口</t>
  </si>
  <si>
    <t>セブンイレブン緑ヶ丘東町</t>
  </si>
  <si>
    <t>セブンイレブン緑ヶ丘本町</t>
  </si>
  <si>
    <t>ほっともっと桑町</t>
  </si>
  <si>
    <t>セブンイレブン忍者</t>
  </si>
  <si>
    <t>セブンイレブン平野北谷</t>
  </si>
  <si>
    <t>セブンイレブン平野東町</t>
  </si>
  <si>
    <t>杉本商事(パンフレット)</t>
  </si>
  <si>
    <t>言われたら行く</t>
  </si>
  <si>
    <t>ほっともっと白鳳通</t>
  </si>
  <si>
    <t>一光石油中瀬</t>
  </si>
  <si>
    <t>セブンイレブン東条</t>
  </si>
  <si>
    <t>JA佐那具（パンフレット）</t>
  </si>
  <si>
    <t>水曜日</t>
    <phoneticPr fontId="1"/>
  </si>
  <si>
    <t>木曜日</t>
    <phoneticPr fontId="1"/>
  </si>
  <si>
    <t>金曜日</t>
    <phoneticPr fontId="1"/>
  </si>
  <si>
    <t>土曜日</t>
    <phoneticPr fontId="1"/>
  </si>
  <si>
    <t>日曜日</t>
    <phoneticPr fontId="1"/>
  </si>
  <si>
    <t>金属</t>
    <phoneticPr fontId="1"/>
  </si>
  <si>
    <t>木曜段紙</t>
    <phoneticPr fontId="1"/>
  </si>
  <si>
    <t>アーバン松井</t>
    <rPh sb="4" eb="6">
      <t>マツイ</t>
    </rPh>
    <phoneticPr fontId="1"/>
  </si>
  <si>
    <t>K-FORCE</t>
    <phoneticPr fontId="1"/>
  </si>
  <si>
    <t>K-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</si>
</sst>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76" formatCode="&quot;&quot;"/>
  </numFmts>
  <fonts count="38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b/>
      <sz val="11"/>
      <color rgb="FFFA7D00"/>
      <name val="游ゴシック"/>
      <family val="2"/>
      <charset val="128"/>
      <scheme val="minor"/>
    </font>
    <font>
      <sz val="11"/>
      <color theme="1"/>
      <name val="游明朝"/>
      <family val="1"/>
      <charset val="128"/>
    </font>
    <font>
      <sz val="9"/>
      <color theme="1"/>
      <name val="游ゴシック"/>
      <family val="2"/>
      <charset val="128"/>
      <scheme val="minor"/>
    </font>
    <font>
      <sz val="9"/>
      <color theme="1"/>
      <name val="游明朝"/>
      <family val="1"/>
      <charset val="128"/>
    </font>
    <font>
      <sz val="12"/>
      <color theme="1"/>
      <name val="游ゴシック"/>
      <family val="3"/>
      <charset val="128"/>
      <scheme val="minor"/>
    </font>
    <font>
      <sz val="12"/>
      <color rgb="FFFF0000"/>
      <name val="游ゴシック"/>
      <family val="3"/>
      <charset val="128"/>
      <scheme val="minor"/>
    </font>
    <font>
      <sz val="14"/>
      <color theme="1"/>
      <name val="HGP明朝B"/>
      <family val="1"/>
      <charset val="128"/>
    </font>
    <font>
      <sz val="12"/>
      <color theme="1"/>
      <name val="HGP明朝B"/>
      <family val="1"/>
      <charset val="128"/>
    </font>
    <font>
      <sz val="9"/>
      <color rgb="FFFF0000"/>
      <name val="游明朝"/>
      <family val="1"/>
      <charset val="128"/>
    </font>
    <font>
      <sz val="9"/>
      <name val="游明朝"/>
      <family val="1"/>
      <charset val="128"/>
    </font>
    <font>
      <b/>
      <i/>
      <u/>
      <sz val="9"/>
      <name val="游明朝"/>
      <family val="1"/>
      <charset val="128"/>
    </font>
    <font>
      <sz val="10"/>
      <color theme="1"/>
      <name val="游明朝"/>
      <family val="1"/>
      <charset val="128"/>
    </font>
    <font>
      <sz val="10"/>
      <color theme="1"/>
      <name val="游ゴシック"/>
      <family val="3"/>
      <charset val="128"/>
      <scheme val="minor"/>
    </font>
    <font>
      <b/>
      <u/>
      <sz val="10"/>
      <color rgb="FFFF0000"/>
      <name val="游ゴシック"/>
      <family val="3"/>
      <charset val="128"/>
      <scheme val="minor"/>
    </font>
    <font>
      <sz val="16"/>
      <color theme="1"/>
      <name val="游ゴシック"/>
      <family val="3"/>
      <charset val="128"/>
      <scheme val="minor"/>
    </font>
    <font>
      <sz val="10"/>
      <color theme="1"/>
      <name val="HGP教科書体"/>
      <family val="1"/>
      <charset val="128"/>
    </font>
    <font>
      <sz val="18"/>
      <color theme="1"/>
      <name val="BIZ UDP明朝 Medium"/>
      <family val="1"/>
      <charset val="128"/>
    </font>
    <font>
      <sz val="11"/>
      <color theme="1"/>
      <name val="BIZ UDP明朝 Medium"/>
      <family val="1"/>
      <charset val="128"/>
    </font>
    <font>
      <sz val="11"/>
      <color theme="1"/>
      <name val="UD デジタル 教科書体 N-R"/>
      <family val="1"/>
      <charset val="128"/>
    </font>
    <font>
      <sz val="10"/>
      <color theme="1"/>
      <name val="游ゴシック"/>
      <family val="2"/>
      <charset val="128"/>
      <scheme val="minor"/>
    </font>
    <font>
      <sz val="10"/>
      <color rgb="FFFF0000"/>
      <name val="游ゴシック"/>
      <family val="3"/>
      <charset val="128"/>
      <scheme val="minor"/>
    </font>
    <font>
      <sz val="11"/>
      <color theme="1"/>
      <name val="HGP教科書体"/>
      <family val="1"/>
      <charset val="128"/>
    </font>
    <font>
      <sz val="24"/>
      <color theme="1"/>
      <name val="HG丸ｺﾞｼｯｸM-PRO"/>
      <family val="3"/>
      <charset val="128"/>
    </font>
    <font>
      <sz val="12"/>
      <color theme="1"/>
      <name val="HG丸ｺﾞｼｯｸM-PRO"/>
      <family val="3"/>
      <charset val="128"/>
    </font>
    <font>
      <sz val="12"/>
      <color rgb="FFFF0000"/>
      <name val="HG丸ｺﾞｼｯｸM-PRO"/>
      <family val="3"/>
      <charset val="128"/>
    </font>
    <font>
      <sz val="14"/>
      <color theme="1"/>
      <name val="HG丸ｺﾞｼｯｸM-PRO"/>
      <family val="3"/>
      <charset val="128"/>
    </font>
    <font>
      <sz val="10"/>
      <color rgb="FFFF0000"/>
      <name val="HG丸ｺﾞｼｯｸM-PRO"/>
      <family val="3"/>
      <charset val="128"/>
    </font>
    <font>
      <sz val="26"/>
      <color theme="1"/>
      <name val="HG丸ｺﾞｼｯｸM-PRO"/>
      <family val="3"/>
      <charset val="128"/>
    </font>
    <font>
      <sz val="20"/>
      <color theme="1"/>
      <name val="HG丸ｺﾞｼｯｸM-PRO"/>
      <family val="3"/>
      <charset val="128"/>
    </font>
    <font>
      <sz val="28"/>
      <color theme="1"/>
      <name val="HG丸ｺﾞｼｯｸM-PRO"/>
      <family val="3"/>
      <charset val="128"/>
    </font>
    <font>
      <sz val="11"/>
      <color theme="1"/>
      <name val="メイリオ"/>
      <family val="3"/>
      <charset val="128"/>
    </font>
    <font>
      <sz val="11"/>
      <color rgb="FFFF0000"/>
      <name val="メイリオ"/>
      <family val="3"/>
      <charset val="128"/>
    </font>
    <font>
      <sz val="11"/>
      <name val="メイリオ"/>
      <family val="3"/>
      <charset val="128"/>
    </font>
    <font>
      <sz val="9"/>
      <color theme="1"/>
      <name val="メイリオ"/>
      <family val="3"/>
      <charset val="128"/>
    </font>
    <font>
      <sz val="9"/>
      <color rgb="FFFF0000"/>
      <name val="メイリオ"/>
      <family val="3"/>
      <charset val="128"/>
    </font>
    <font>
      <sz val="11"/>
      <name val="メイリオ"/>
      <family val="2"/>
      <charset val="128"/>
    </font>
  </fonts>
  <fills count="39">
    <fill>
      <patternFill patternType="none"/>
    </fill>
    <fill>
      <patternFill patternType="gray125"/>
    </fill>
    <fill>
      <patternFill patternType="solid">
        <fgColor theme="5" tint="0.39997558519241921"/>
        <bgColor indexed="64"/>
      </patternFill>
    </fill>
    <fill>
      <patternFill patternType="solid">
        <fgColor rgb="FFF2F2F2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EDE1F5"/>
        <bgColor indexed="64"/>
      </patternFill>
    </fill>
    <fill>
      <patternFill patternType="solid">
        <fgColor rgb="FFD9F2F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D9C3E9"/>
        <bgColor indexed="64"/>
      </patternFill>
    </fill>
    <fill>
      <patternFill patternType="solid">
        <fgColor rgb="FFB7E4E4"/>
        <bgColor indexed="64"/>
      </patternFill>
    </fill>
    <fill>
      <patternFill patternType="solid">
        <fgColor rgb="FFF4D7E8"/>
        <bgColor indexed="64"/>
      </patternFill>
    </fill>
    <fill>
      <patternFill patternType="solid">
        <fgColor rgb="FFD6DCE4"/>
        <bgColor indexed="64"/>
      </patternFill>
    </fill>
    <fill>
      <patternFill patternType="solid">
        <fgColor rgb="FFE7F5C8"/>
        <bgColor indexed="64"/>
      </patternFill>
    </fill>
    <fill>
      <patternFill patternType="solid">
        <fgColor rgb="FFFFD9B3"/>
        <bgColor indexed="64"/>
      </patternFill>
    </fill>
    <fill>
      <patternFill patternType="solid">
        <fgColor rgb="FFCCE5FF"/>
        <bgColor indexed="64"/>
      </patternFill>
    </fill>
    <fill>
      <patternFill patternType="solid">
        <fgColor rgb="FFD5F5D5"/>
        <bgColor indexed="64"/>
      </patternFill>
    </fill>
    <fill>
      <patternFill patternType="solid">
        <fgColor rgb="FFFFF0B3"/>
        <bgColor indexed="64"/>
      </patternFill>
    </fill>
    <fill>
      <patternFill patternType="solid">
        <fgColor rgb="FFE6D5F0"/>
        <bgColor indexed="64"/>
      </patternFill>
    </fill>
    <fill>
      <patternFill patternType="solid">
        <fgColor rgb="FFC9EDF2"/>
        <bgColor indexed="64"/>
      </patternFill>
    </fill>
    <fill>
      <patternFill patternType="solid">
        <fgColor rgb="FFF9D5D3"/>
        <bgColor indexed="64"/>
      </patternFill>
    </fill>
    <fill>
      <patternFill patternType="solid">
        <fgColor rgb="FFDCE6F1"/>
        <bgColor indexed="64"/>
      </patternFill>
    </fill>
    <fill>
      <patternFill patternType="solid">
        <fgColor rgb="FFEAF1DD"/>
        <bgColor indexed="64"/>
      </patternFill>
    </fill>
    <fill>
      <patternFill patternType="solid">
        <fgColor rgb="FFFDE9D9"/>
        <bgColor indexed="64"/>
      </patternFill>
    </fill>
    <fill>
      <patternFill patternType="solid">
        <fgColor rgb="FFE4DFEC"/>
        <bgColor indexed="64"/>
      </patternFill>
    </fill>
  </fills>
  <borders count="43">
    <border>
      <left/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ashed">
        <color indexed="64"/>
      </left>
      <right style="dashed">
        <color indexed="64"/>
      </right>
      <top style="dashed">
        <color indexed="64"/>
      </top>
      <bottom style="dashed">
        <color indexed="64"/>
      </bottom>
      <diagonal/>
    </border>
    <border>
      <left style="dashed">
        <color indexed="64"/>
      </left>
      <right style="dashed">
        <color indexed="64"/>
      </right>
      <top style="dashed">
        <color indexed="64"/>
      </top>
      <bottom/>
      <diagonal/>
    </border>
    <border>
      <left style="dashed">
        <color indexed="64"/>
      </left>
      <right style="dashed">
        <color indexed="64"/>
      </right>
      <top/>
      <bottom style="dashed">
        <color indexed="64"/>
      </bottom>
      <diagonal/>
    </border>
    <border>
      <left style="dashed">
        <color auto="1"/>
      </left>
      <right style="dashed">
        <color auto="1"/>
      </right>
      <top/>
      <bottom/>
      <diagonal/>
    </border>
    <border>
      <left/>
      <right/>
      <top style="dashed">
        <color auto="1"/>
      </top>
      <bottom/>
      <diagonal/>
    </border>
    <border>
      <left style="dashed">
        <color indexed="64"/>
      </left>
      <right/>
      <top style="dashed">
        <color indexed="64"/>
      </top>
      <bottom style="dashed">
        <color indexed="64"/>
      </bottom>
      <diagonal/>
    </border>
    <border>
      <left/>
      <right style="dashed">
        <color indexed="64"/>
      </right>
      <top style="dashed">
        <color indexed="64"/>
      </top>
      <bottom style="dashed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dashed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dashed">
        <color indexed="64"/>
      </bottom>
      <diagonal/>
    </border>
    <border>
      <left style="thin">
        <color indexed="64"/>
      </left>
      <right style="dashed">
        <color indexed="64"/>
      </right>
      <top style="dashed">
        <color indexed="64"/>
      </top>
      <bottom style="dashed">
        <color indexed="64"/>
      </bottom>
      <diagonal/>
    </border>
    <border>
      <left style="thin">
        <color indexed="64"/>
      </left>
      <right style="dashed">
        <color indexed="64"/>
      </right>
      <top style="dashed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dashed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dashed">
        <color indexed="64"/>
      </bottom>
      <diagonal/>
    </border>
    <border>
      <left style="dashed">
        <color indexed="64"/>
      </left>
      <right style="thin">
        <color indexed="64"/>
      </right>
      <top style="dashed">
        <color indexed="64"/>
      </top>
      <bottom style="dashed">
        <color indexed="64"/>
      </bottom>
      <diagonal/>
    </border>
    <border>
      <left style="dashed">
        <color indexed="64"/>
      </left>
      <right style="thin">
        <color indexed="64"/>
      </right>
      <top style="dashed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dashed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dashed">
        <color indexed="64"/>
      </top>
      <bottom/>
      <diagonal/>
    </border>
    <border>
      <left style="thin">
        <color indexed="64"/>
      </left>
      <right/>
      <top style="dashed">
        <color indexed="64"/>
      </top>
      <bottom style="dashed">
        <color indexed="64"/>
      </bottom>
      <diagonal/>
    </border>
    <border>
      <left/>
      <right/>
      <top style="dashed">
        <color indexed="64"/>
      </top>
      <bottom style="dashed">
        <color indexed="64"/>
      </bottom>
      <diagonal/>
    </border>
    <border>
      <left/>
      <right style="thin">
        <color indexed="64"/>
      </right>
      <top style="dashed">
        <color indexed="64"/>
      </top>
      <bottom style="dashed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dashed">
        <color indexed="64"/>
      </bottom>
      <diagonal/>
    </border>
    <border>
      <left style="thin">
        <color indexed="64"/>
      </left>
      <right/>
      <top style="dashed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ashed">
        <color indexed="64"/>
      </bottom>
      <diagonal/>
    </border>
    <border>
      <left style="thin">
        <color indexed="64"/>
      </left>
      <right style="thin">
        <color indexed="64"/>
      </right>
      <top style="dashed">
        <color indexed="64"/>
      </top>
      <bottom style="dashed">
        <color indexed="64"/>
      </bottom>
      <diagonal/>
    </border>
    <border>
      <left style="thin">
        <color indexed="64"/>
      </left>
      <right style="thin">
        <color indexed="64"/>
      </right>
      <top style="dashed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ashed">
        <color indexed="64"/>
      </bottom>
      <diagonal/>
    </border>
    <border>
      <left/>
      <right style="thin">
        <color indexed="64"/>
      </right>
      <top style="dashed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>
      <alignment vertical="center"/>
    </xf>
    <xf numFmtId="0" fontId="2" fillId="3" borderId="9">
      <alignment horizontal="center" vertical="center"/>
    </xf>
  </cellStyleXfs>
  <cellXfs count="294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3" fillId="0" borderId="0" xfId="0" applyFont="1">
      <alignment vertical="center"/>
    </xf>
    <xf numFmtId="0" fontId="0" fillId="0" borderId="10" xfId="0" applyBorder="1">
      <alignment vertical="center"/>
    </xf>
    <xf numFmtId="0" fontId="0" fillId="4" borderId="10" xfId="0" applyFill="1" applyBorder="1">
      <alignment vertical="center"/>
    </xf>
    <xf numFmtId="0" fontId="3" fillId="0" borderId="10" xfId="0" applyFont="1" applyBorder="1" applyAlignment="1">
      <alignment horizontal="left" vertical="center"/>
    </xf>
    <xf numFmtId="0" fontId="3" fillId="0" borderId="10" xfId="0" applyFont="1" applyBorder="1">
      <alignment vertical="center"/>
    </xf>
    <xf numFmtId="0" fontId="3" fillId="4" borderId="10" xfId="0" applyFont="1" applyFill="1" applyBorder="1">
      <alignment vertical="center"/>
    </xf>
    <xf numFmtId="0" fontId="3" fillId="2" borderId="10" xfId="0" applyFont="1" applyFill="1" applyBorder="1">
      <alignment vertical="center"/>
    </xf>
    <xf numFmtId="0" fontId="0" fillId="0" borderId="10" xfId="0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10" xfId="0" applyFont="1" applyBorder="1" applyAlignment="1">
      <alignment horizontal="center" vertical="center"/>
    </xf>
    <xf numFmtId="0" fontId="3" fillId="6" borderId="10" xfId="0" applyFont="1" applyFill="1" applyBorder="1" applyAlignment="1">
      <alignment horizontal="left" vertical="center"/>
    </xf>
    <xf numFmtId="0" fontId="3" fillId="6" borderId="10" xfId="0" applyFont="1" applyFill="1" applyBorder="1">
      <alignment vertical="center"/>
    </xf>
    <xf numFmtId="0" fontId="3" fillId="4" borderId="10" xfId="0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6" fillId="0" borderId="10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0" fillId="0" borderId="13" xfId="0" applyBorder="1">
      <alignment vertical="center"/>
    </xf>
    <xf numFmtId="0" fontId="0" fillId="0" borderId="14" xfId="0" applyBorder="1">
      <alignment vertical="center"/>
    </xf>
    <xf numFmtId="0" fontId="3" fillId="0" borderId="14" xfId="0" applyFont="1" applyBorder="1" applyAlignment="1">
      <alignment horizontal="left" vertical="center"/>
    </xf>
    <xf numFmtId="0" fontId="3" fillId="4" borderId="15" xfId="0" applyFont="1" applyFill="1" applyBorder="1" applyAlignment="1">
      <alignment horizontal="left" vertical="center"/>
    </xf>
    <xf numFmtId="0" fontId="3" fillId="4" borderId="16" xfId="0" applyFont="1" applyFill="1" applyBorder="1">
      <alignment vertical="center"/>
    </xf>
    <xf numFmtId="0" fontId="3" fillId="4" borderId="11" xfId="0" applyFont="1" applyFill="1" applyBorder="1">
      <alignment vertical="center"/>
    </xf>
    <xf numFmtId="0" fontId="3" fillId="4" borderId="12" xfId="0" applyFont="1" applyFill="1" applyBorder="1">
      <alignment vertical="center"/>
    </xf>
    <xf numFmtId="0" fontId="3" fillId="0" borderId="15" xfId="0" applyFont="1" applyBorder="1" applyAlignment="1">
      <alignment horizontal="left" vertical="center"/>
    </xf>
    <xf numFmtId="0" fontId="3" fillId="0" borderId="16" xfId="0" applyFont="1" applyBorder="1">
      <alignment vertical="center"/>
    </xf>
    <xf numFmtId="0" fontId="3" fillId="0" borderId="11" xfId="0" applyFont="1" applyBorder="1">
      <alignment vertical="center"/>
    </xf>
    <xf numFmtId="0" fontId="3" fillId="0" borderId="12" xfId="0" applyFont="1" applyBorder="1">
      <alignment vertical="center"/>
    </xf>
    <xf numFmtId="0" fontId="0" fillId="2" borderId="10" xfId="0" applyFill="1" applyBorder="1">
      <alignment vertical="center"/>
    </xf>
    <xf numFmtId="0" fontId="5" fillId="0" borderId="10" xfId="0" applyFont="1" applyBorder="1" applyAlignment="1">
      <alignment horizontal="center" vertical="center"/>
    </xf>
    <xf numFmtId="0" fontId="4" fillId="0" borderId="0" xfId="0" applyFont="1">
      <alignment vertical="center"/>
    </xf>
    <xf numFmtId="0" fontId="5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horizontal="left" vertical="center"/>
    </xf>
    <xf numFmtId="0" fontId="13" fillId="0" borderId="10" xfId="0" applyFont="1" applyBorder="1">
      <alignment vertical="center"/>
    </xf>
    <xf numFmtId="0" fontId="14" fillId="0" borderId="0" xfId="0" applyFont="1">
      <alignment vertical="center"/>
    </xf>
    <xf numFmtId="0" fontId="14" fillId="0" borderId="10" xfId="0" applyFont="1" applyBorder="1">
      <alignment vertical="center"/>
    </xf>
    <xf numFmtId="0" fontId="15" fillId="0" borderId="23" xfId="0" applyFont="1" applyBorder="1" applyAlignment="1">
      <alignment horizontal="center" vertical="center"/>
    </xf>
    <xf numFmtId="0" fontId="14" fillId="0" borderId="0" xfId="0" applyFont="1" applyAlignment="1">
      <alignment vertical="center" wrapText="1"/>
    </xf>
    <xf numFmtId="0" fontId="14" fillId="7" borderId="10" xfId="0" applyFont="1" applyFill="1" applyBorder="1">
      <alignment vertical="center"/>
    </xf>
    <xf numFmtId="0" fontId="15" fillId="7" borderId="23" xfId="0" applyFont="1" applyFill="1" applyBorder="1" applyAlignment="1">
      <alignment horizontal="center" vertical="center"/>
    </xf>
    <xf numFmtId="0" fontId="14" fillId="7" borderId="10" xfId="0" applyFont="1" applyFill="1" applyBorder="1" applyAlignment="1">
      <alignment horizontal="center" vertical="center"/>
    </xf>
    <xf numFmtId="0" fontId="14" fillId="7" borderId="10" xfId="0" applyFont="1" applyFill="1" applyBorder="1" applyAlignment="1">
      <alignment horizontal="left" vertical="center"/>
    </xf>
    <xf numFmtId="0" fontId="14" fillId="0" borderId="10" xfId="0" applyFont="1" applyBorder="1" applyAlignment="1">
      <alignment horizontal="center" vertical="center"/>
    </xf>
    <xf numFmtId="0" fontId="14" fillId="0" borderId="10" xfId="0" applyFont="1" applyBorder="1" applyAlignment="1">
      <alignment horizontal="left" vertical="center"/>
    </xf>
    <xf numFmtId="0" fontId="14" fillId="0" borderId="23" xfId="0" applyFont="1" applyBorder="1">
      <alignment vertical="center"/>
    </xf>
    <xf numFmtId="0" fontId="14" fillId="7" borderId="0" xfId="0" applyFont="1" applyFill="1">
      <alignment vertical="center"/>
    </xf>
    <xf numFmtId="0" fontId="14" fillId="5" borderId="10" xfId="0" applyFont="1" applyFill="1" applyBorder="1">
      <alignment vertical="center"/>
    </xf>
    <xf numFmtId="0" fontId="15" fillId="5" borderId="23" xfId="0" applyFont="1" applyFill="1" applyBorder="1" applyAlignment="1">
      <alignment horizontal="center" vertical="center"/>
    </xf>
    <xf numFmtId="0" fontId="14" fillId="5" borderId="21" xfId="0" applyFont="1" applyFill="1" applyBorder="1" applyAlignment="1">
      <alignment horizontal="center" vertical="center"/>
    </xf>
    <xf numFmtId="0" fontId="15" fillId="5" borderId="24" xfId="0" applyFont="1" applyFill="1" applyBorder="1" applyAlignment="1">
      <alignment horizontal="center" vertical="center"/>
    </xf>
    <xf numFmtId="0" fontId="14" fillId="5" borderId="21" xfId="0" applyFont="1" applyFill="1" applyBorder="1">
      <alignment vertical="center"/>
    </xf>
    <xf numFmtId="0" fontId="14" fillId="7" borderId="0" xfId="0" applyFont="1" applyFill="1" applyAlignment="1">
      <alignment horizontal="left" vertical="center"/>
    </xf>
    <xf numFmtId="0" fontId="15" fillId="7" borderId="0" xfId="0" applyFont="1" applyFill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14" fillId="0" borderId="19" xfId="0" applyFont="1" applyBorder="1" applyAlignment="1">
      <alignment horizontal="center" vertical="center"/>
    </xf>
    <xf numFmtId="0" fontId="14" fillId="7" borderId="19" xfId="0" applyFont="1" applyFill="1" applyBorder="1" applyAlignment="1">
      <alignment horizontal="center" vertical="center"/>
    </xf>
    <xf numFmtId="0" fontId="14" fillId="5" borderId="10" xfId="0" applyFont="1" applyFill="1" applyBorder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14" fillId="5" borderId="20" xfId="0" applyFont="1" applyFill="1" applyBorder="1" applyAlignment="1">
      <alignment horizontal="center" vertical="center"/>
    </xf>
    <xf numFmtId="0" fontId="14" fillId="5" borderId="19" xfId="0" applyFont="1" applyFill="1" applyBorder="1" applyAlignment="1">
      <alignment horizontal="center" vertical="center"/>
    </xf>
    <xf numFmtId="0" fontId="14" fillId="8" borderId="17" xfId="0" applyFont="1" applyFill="1" applyBorder="1" applyAlignment="1">
      <alignment horizontal="center" vertical="center"/>
    </xf>
    <xf numFmtId="0" fontId="14" fillId="8" borderId="19" xfId="0" applyFont="1" applyFill="1" applyBorder="1" applyAlignment="1">
      <alignment horizontal="center" vertical="center"/>
    </xf>
    <xf numFmtId="0" fontId="14" fillId="8" borderId="10" xfId="0" applyFont="1" applyFill="1" applyBorder="1" applyAlignment="1">
      <alignment horizontal="center" vertical="center"/>
    </xf>
    <xf numFmtId="0" fontId="14" fillId="8" borderId="10" xfId="0" applyFont="1" applyFill="1" applyBorder="1">
      <alignment vertical="center"/>
    </xf>
    <xf numFmtId="0" fontId="15" fillId="8" borderId="23" xfId="0" applyFont="1" applyFill="1" applyBorder="1" applyAlignment="1">
      <alignment horizontal="center" vertical="center"/>
    </xf>
    <xf numFmtId="176" fontId="14" fillId="8" borderId="10" xfId="0" applyNumberFormat="1" applyFont="1" applyFill="1" applyBorder="1" applyAlignment="1">
      <alignment horizontal="left" vertical="center"/>
    </xf>
    <xf numFmtId="0" fontId="5" fillId="7" borderId="0" xfId="0" applyFont="1" applyFill="1" applyAlignment="1">
      <alignment horizontal="center" vertical="center"/>
    </xf>
    <xf numFmtId="0" fontId="4" fillId="7" borderId="0" xfId="0" applyFont="1" applyFill="1">
      <alignment vertical="center"/>
    </xf>
    <xf numFmtId="0" fontId="5" fillId="0" borderId="17" xfId="0" applyFont="1" applyBorder="1" applyAlignment="1">
      <alignment horizontal="center" vertical="center"/>
    </xf>
    <xf numFmtId="0" fontId="5" fillId="0" borderId="19" xfId="0" applyFont="1" applyBorder="1" applyAlignment="1">
      <alignment horizontal="center" vertical="center"/>
    </xf>
    <xf numFmtId="0" fontId="5" fillId="0" borderId="20" xfId="0" applyFont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5" fillId="7" borderId="23" xfId="0" applyFont="1" applyFill="1" applyBorder="1" applyAlignment="1">
      <alignment horizontal="center" vertical="center"/>
    </xf>
    <xf numFmtId="0" fontId="5" fillId="0" borderId="21" xfId="0" applyFont="1" applyBorder="1" applyAlignment="1">
      <alignment horizontal="center" vertical="center"/>
    </xf>
    <xf numFmtId="0" fontId="5" fillId="10" borderId="19" xfId="0" applyFont="1" applyFill="1" applyBorder="1" applyAlignment="1">
      <alignment horizontal="center" vertical="center"/>
    </xf>
    <xf numFmtId="0" fontId="5" fillId="7" borderId="19" xfId="0" applyFont="1" applyFill="1" applyBorder="1" applyAlignment="1">
      <alignment horizontal="center" vertical="center"/>
    </xf>
    <xf numFmtId="0" fontId="4" fillId="7" borderId="23" xfId="0" applyFont="1" applyFill="1" applyBorder="1" applyAlignment="1">
      <alignment horizontal="center" vertical="center"/>
    </xf>
    <xf numFmtId="0" fontId="4" fillId="7" borderId="24" xfId="0" applyFont="1" applyFill="1" applyBorder="1" applyAlignment="1">
      <alignment horizontal="center" vertical="center"/>
    </xf>
    <xf numFmtId="0" fontId="5" fillId="10" borderId="10" xfId="0" applyFont="1" applyFill="1" applyBorder="1" applyAlignment="1">
      <alignment horizontal="center" vertical="center"/>
    </xf>
    <xf numFmtId="0" fontId="5" fillId="7" borderId="22" xfId="0" applyFont="1" applyFill="1" applyBorder="1" applyAlignment="1">
      <alignment horizontal="center" vertical="center"/>
    </xf>
    <xf numFmtId="0" fontId="17" fillId="0" borderId="0" xfId="0" applyFont="1">
      <alignment vertical="center"/>
    </xf>
    <xf numFmtId="0" fontId="19" fillId="0" borderId="0" xfId="0" applyFont="1">
      <alignment vertical="center"/>
    </xf>
    <xf numFmtId="0" fontId="20" fillId="0" borderId="0" xfId="0" applyFont="1">
      <alignment vertical="center"/>
    </xf>
    <xf numFmtId="0" fontId="19" fillId="7" borderId="0" xfId="0" applyFont="1" applyFill="1">
      <alignment vertical="center"/>
    </xf>
    <xf numFmtId="0" fontId="21" fillId="0" borderId="0" xfId="0" applyFont="1">
      <alignment vertical="center"/>
    </xf>
    <xf numFmtId="0" fontId="19" fillId="7" borderId="0" xfId="0" applyFont="1" applyFill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5" fillId="11" borderId="19" xfId="0" applyFont="1" applyFill="1" applyBorder="1" applyAlignment="1">
      <alignment horizontal="center" vertical="center"/>
    </xf>
    <xf numFmtId="0" fontId="5" fillId="7" borderId="10" xfId="0" applyFont="1" applyFill="1" applyBorder="1" applyAlignment="1">
      <alignment horizontal="center" vertical="center"/>
    </xf>
    <xf numFmtId="0" fontId="5" fillId="0" borderId="18" xfId="0" applyFont="1" applyBorder="1" applyAlignment="1">
      <alignment horizontal="left" vertical="center"/>
    </xf>
    <xf numFmtId="0" fontId="5" fillId="0" borderId="10" xfId="0" applyFont="1" applyBorder="1" applyAlignment="1">
      <alignment horizontal="left" vertical="center"/>
    </xf>
    <xf numFmtId="0" fontId="5" fillId="10" borderId="10" xfId="0" applyFont="1" applyFill="1" applyBorder="1" applyAlignment="1">
      <alignment horizontal="left" vertical="center"/>
    </xf>
    <xf numFmtId="0" fontId="5" fillId="7" borderId="10" xfId="0" applyFont="1" applyFill="1" applyBorder="1" applyAlignment="1">
      <alignment horizontal="left" vertical="center"/>
    </xf>
    <xf numFmtId="0" fontId="5" fillId="7" borderId="21" xfId="0" applyFont="1" applyFill="1" applyBorder="1" applyAlignment="1">
      <alignment horizontal="left" vertical="center"/>
    </xf>
    <xf numFmtId="0" fontId="5" fillId="10" borderId="18" xfId="0" applyFont="1" applyFill="1" applyBorder="1" applyAlignment="1">
      <alignment horizontal="left" vertical="center"/>
    </xf>
    <xf numFmtId="0" fontId="10" fillId="0" borderId="10" xfId="0" applyFont="1" applyBorder="1" applyAlignment="1">
      <alignment horizontal="left" vertical="center"/>
    </xf>
    <xf numFmtId="0" fontId="10" fillId="0" borderId="21" xfId="0" applyFont="1" applyBorder="1" applyAlignment="1">
      <alignment horizontal="left" vertical="center"/>
    </xf>
    <xf numFmtId="0" fontId="10" fillId="0" borderId="0" xfId="0" applyFont="1" applyAlignment="1">
      <alignment horizontal="left" vertical="center"/>
    </xf>
    <xf numFmtId="0" fontId="14" fillId="8" borderId="26" xfId="0" applyFont="1" applyFill="1" applyBorder="1" applyAlignment="1">
      <alignment horizontal="center" vertical="center"/>
    </xf>
    <xf numFmtId="0" fontId="14" fillId="8" borderId="27" xfId="0" applyFont="1" applyFill="1" applyBorder="1" applyAlignment="1">
      <alignment horizontal="center" vertical="center"/>
    </xf>
    <xf numFmtId="0" fontId="14" fillId="8" borderId="27" xfId="0" applyFont="1" applyFill="1" applyBorder="1">
      <alignment vertical="center"/>
    </xf>
    <xf numFmtId="0" fontId="15" fillId="8" borderId="28" xfId="0" applyFont="1" applyFill="1" applyBorder="1" applyAlignment="1">
      <alignment horizontal="center" vertical="center"/>
    </xf>
    <xf numFmtId="0" fontId="14" fillId="0" borderId="17" xfId="0" applyFont="1" applyBorder="1" applyAlignment="1">
      <alignment horizontal="center" vertical="center"/>
    </xf>
    <xf numFmtId="0" fontId="14" fillId="0" borderId="18" xfId="0" applyFont="1" applyBorder="1" applyAlignment="1">
      <alignment horizontal="center" vertical="center"/>
    </xf>
    <xf numFmtId="0" fontId="14" fillId="0" borderId="18" xfId="0" applyFont="1" applyBorder="1">
      <alignment vertical="center"/>
    </xf>
    <xf numFmtId="0" fontId="15" fillId="0" borderId="22" xfId="0" applyFont="1" applyBorder="1" applyAlignment="1">
      <alignment horizontal="center" vertical="center"/>
    </xf>
    <xf numFmtId="0" fontId="14" fillId="7" borderId="11" xfId="0" applyFont="1" applyFill="1" applyBorder="1" applyAlignment="1">
      <alignment horizontal="center" vertical="center"/>
    </xf>
    <xf numFmtId="0" fontId="14" fillId="7" borderId="11" xfId="0" applyFont="1" applyFill="1" applyBorder="1">
      <alignment vertical="center"/>
    </xf>
    <xf numFmtId="0" fontId="15" fillId="7" borderId="25" xfId="0" applyFont="1" applyFill="1" applyBorder="1" applyAlignment="1">
      <alignment horizontal="center" vertical="center"/>
    </xf>
    <xf numFmtId="0" fontId="14" fillId="7" borderId="29" xfId="0" applyFont="1" applyFill="1" applyBorder="1" applyAlignment="1">
      <alignment horizontal="center" vertical="center"/>
    </xf>
    <xf numFmtId="0" fontId="14" fillId="7" borderId="29" xfId="0" applyFont="1" applyFill="1" applyBorder="1">
      <alignment vertical="center"/>
    </xf>
    <xf numFmtId="0" fontId="15" fillId="7" borderId="29" xfId="0" applyFont="1" applyFill="1" applyBorder="1" applyAlignment="1">
      <alignment horizontal="center" vertical="center"/>
    </xf>
    <xf numFmtId="0" fontId="14" fillId="7" borderId="0" xfId="0" applyFont="1" applyFill="1" applyAlignment="1">
      <alignment horizontal="center" vertical="center"/>
    </xf>
    <xf numFmtId="0" fontId="14" fillId="7" borderId="26" xfId="0" applyFont="1" applyFill="1" applyBorder="1" applyAlignment="1">
      <alignment horizontal="center" vertical="center"/>
    </xf>
    <xf numFmtId="0" fontId="14" fillId="5" borderId="30" xfId="0" applyFont="1" applyFill="1" applyBorder="1" applyAlignment="1">
      <alignment horizontal="center" vertical="center"/>
    </xf>
    <xf numFmtId="0" fontId="14" fillId="5" borderId="11" xfId="0" applyFont="1" applyFill="1" applyBorder="1" applyAlignment="1">
      <alignment horizontal="center" vertical="center"/>
    </xf>
    <xf numFmtId="0" fontId="14" fillId="5" borderId="11" xfId="0" applyFont="1" applyFill="1" applyBorder="1" applyAlignment="1">
      <alignment horizontal="left" vertical="center"/>
    </xf>
    <xf numFmtId="0" fontId="15" fillId="5" borderId="25" xfId="0" applyFont="1" applyFill="1" applyBorder="1" applyAlignment="1">
      <alignment horizontal="center" vertical="center"/>
    </xf>
    <xf numFmtId="0" fontId="5" fillId="7" borderId="18" xfId="0" applyFont="1" applyFill="1" applyBorder="1" applyAlignment="1">
      <alignment horizontal="center" vertical="center"/>
    </xf>
    <xf numFmtId="0" fontId="5" fillId="7" borderId="21" xfId="0" applyFont="1" applyFill="1" applyBorder="1" applyAlignment="1">
      <alignment horizontal="center" vertical="center"/>
    </xf>
    <xf numFmtId="0" fontId="19" fillId="9" borderId="17" xfId="0" applyFont="1" applyFill="1" applyBorder="1" applyAlignment="1">
      <alignment horizontal="center" vertical="center"/>
    </xf>
    <xf numFmtId="0" fontId="19" fillId="9" borderId="18" xfId="0" applyFont="1" applyFill="1" applyBorder="1" applyAlignment="1">
      <alignment horizontal="center" vertical="center"/>
    </xf>
    <xf numFmtId="0" fontId="19" fillId="9" borderId="22" xfId="0" applyFont="1" applyFill="1" applyBorder="1" applyAlignment="1">
      <alignment horizontal="center" vertical="center"/>
    </xf>
    <xf numFmtId="0" fontId="19" fillId="9" borderId="19" xfId="0" applyFont="1" applyFill="1" applyBorder="1" applyAlignment="1">
      <alignment horizontal="center" vertical="center"/>
    </xf>
    <xf numFmtId="0" fontId="19" fillId="9" borderId="10" xfId="0" applyFont="1" applyFill="1" applyBorder="1" applyAlignment="1">
      <alignment horizontal="center" vertical="center"/>
    </xf>
    <xf numFmtId="0" fontId="19" fillId="9" borderId="23" xfId="0" applyFont="1" applyFill="1" applyBorder="1" applyAlignment="1">
      <alignment horizontal="center" vertical="center"/>
    </xf>
    <xf numFmtId="0" fontId="19" fillId="7" borderId="19" xfId="0" applyFont="1" applyFill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23" xfId="0" applyFont="1" applyBorder="1" applyAlignment="1">
      <alignment horizontal="center" vertical="center"/>
    </xf>
    <xf numFmtId="0" fontId="19" fillId="0" borderId="10" xfId="0" applyFont="1" applyBorder="1">
      <alignment vertical="center"/>
    </xf>
    <xf numFmtId="0" fontId="19" fillId="0" borderId="19" xfId="0" applyFont="1" applyBorder="1" applyAlignment="1">
      <alignment horizontal="center" vertical="center"/>
    </xf>
    <xf numFmtId="0" fontId="19" fillId="0" borderId="23" xfId="0" applyFont="1" applyBorder="1">
      <alignment vertical="center"/>
    </xf>
    <xf numFmtId="0" fontId="19" fillId="9" borderId="10" xfId="0" applyFont="1" applyFill="1" applyBorder="1">
      <alignment vertical="center"/>
    </xf>
    <xf numFmtId="0" fontId="19" fillId="9" borderId="23" xfId="0" applyFont="1" applyFill="1" applyBorder="1">
      <alignment vertical="center"/>
    </xf>
    <xf numFmtId="0" fontId="19" fillId="0" borderId="20" xfId="0" applyFont="1" applyBorder="1" applyAlignment="1">
      <alignment horizontal="center" vertical="center"/>
    </xf>
    <xf numFmtId="0" fontId="19" fillId="0" borderId="21" xfId="0" applyFont="1" applyBorder="1" applyAlignment="1">
      <alignment horizontal="center" vertical="center"/>
    </xf>
    <xf numFmtId="0" fontId="19" fillId="0" borderId="24" xfId="0" applyFont="1" applyBorder="1" applyAlignment="1">
      <alignment horizontal="center" vertical="center"/>
    </xf>
    <xf numFmtId="0" fontId="19" fillId="7" borderId="20" xfId="0" applyFont="1" applyFill="1" applyBorder="1" applyAlignment="1">
      <alignment horizontal="center" vertical="center"/>
    </xf>
    <xf numFmtId="0" fontId="19" fillId="0" borderId="21" xfId="0" applyFont="1" applyBorder="1">
      <alignment vertical="center"/>
    </xf>
    <xf numFmtId="0" fontId="19" fillId="0" borderId="24" xfId="0" applyFont="1" applyBorder="1">
      <alignment vertical="center"/>
    </xf>
    <xf numFmtId="0" fontId="23" fillId="0" borderId="0" xfId="0" applyFont="1">
      <alignment vertical="center"/>
    </xf>
    <xf numFmtId="0" fontId="23" fillId="0" borderId="0" xfId="0" applyFont="1" applyAlignment="1">
      <alignment horizontal="center" vertical="center"/>
    </xf>
    <xf numFmtId="0" fontId="6" fillId="8" borderId="10" xfId="0" applyFont="1" applyFill="1" applyBorder="1" applyAlignment="1">
      <alignment horizontal="center" vertical="center"/>
    </xf>
    <xf numFmtId="0" fontId="6" fillId="8" borderId="17" xfId="0" applyFont="1" applyFill="1" applyBorder="1" applyAlignment="1">
      <alignment horizontal="center" vertical="center"/>
    </xf>
    <xf numFmtId="0" fontId="7" fillId="8" borderId="22" xfId="0" applyFont="1" applyFill="1" applyBorder="1" applyAlignment="1">
      <alignment horizontal="center" vertical="center"/>
    </xf>
    <xf numFmtId="0" fontId="6" fillId="8" borderId="19" xfId="0" applyFont="1" applyFill="1" applyBorder="1" applyAlignment="1">
      <alignment horizontal="center" vertical="center"/>
    </xf>
    <xf numFmtId="0" fontId="7" fillId="8" borderId="23" xfId="0" applyFont="1" applyFill="1" applyBorder="1" applyAlignment="1">
      <alignment horizontal="center" vertical="center"/>
    </xf>
    <xf numFmtId="0" fontId="6" fillId="0" borderId="19" xfId="0" applyFont="1" applyBorder="1" applyAlignment="1">
      <alignment horizontal="center" vertical="center"/>
    </xf>
    <xf numFmtId="0" fontId="7" fillId="0" borderId="23" xfId="0" applyFont="1" applyBorder="1" applyAlignment="1">
      <alignment horizontal="center" vertical="center"/>
    </xf>
    <xf numFmtId="0" fontId="9" fillId="8" borderId="23" xfId="0" applyFont="1" applyFill="1" applyBorder="1" applyAlignment="1">
      <alignment horizontal="center" vertical="center"/>
    </xf>
    <xf numFmtId="0" fontId="6" fillId="0" borderId="20" xfId="0" applyFont="1" applyBorder="1" applyAlignment="1">
      <alignment horizontal="center" vertical="center"/>
    </xf>
    <xf numFmtId="0" fontId="7" fillId="0" borderId="24" xfId="0" applyFont="1" applyBorder="1" applyAlignment="1">
      <alignment horizontal="center" vertical="center"/>
    </xf>
    <xf numFmtId="0" fontId="6" fillId="8" borderId="18" xfId="0" applyFont="1" applyFill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0" fontId="6" fillId="0" borderId="21" xfId="0" applyFont="1" applyBorder="1" applyAlignment="1">
      <alignment horizontal="center" vertical="center"/>
    </xf>
    <xf numFmtId="0" fontId="5" fillId="7" borderId="34" xfId="0" applyFont="1" applyFill="1" applyBorder="1" applyAlignment="1">
      <alignment horizontal="center" vertical="center"/>
    </xf>
    <xf numFmtId="0" fontId="4" fillId="7" borderId="34" xfId="0" applyFont="1" applyFill="1" applyBorder="1" applyAlignment="1">
      <alignment horizontal="center" vertical="center"/>
    </xf>
    <xf numFmtId="0" fontId="14" fillId="7" borderId="30" xfId="0" applyFont="1" applyFill="1" applyBorder="1" applyAlignment="1">
      <alignment horizontal="center" vertical="center"/>
    </xf>
    <xf numFmtId="0" fontId="14" fillId="0" borderId="29" xfId="0" applyFont="1" applyBorder="1" applyAlignment="1">
      <alignment horizontal="center" vertical="center"/>
    </xf>
    <xf numFmtId="0" fontId="5" fillId="7" borderId="0" xfId="0" applyFont="1" applyFill="1" applyAlignment="1">
      <alignment horizontal="left" vertical="center"/>
    </xf>
    <xf numFmtId="0" fontId="5" fillId="10" borderId="17" xfId="0" applyFont="1" applyFill="1" applyBorder="1" applyAlignment="1">
      <alignment horizontal="center" vertical="center"/>
    </xf>
    <xf numFmtId="0" fontId="11" fillId="10" borderId="10" xfId="0" applyFont="1" applyFill="1" applyBorder="1" applyAlignment="1">
      <alignment horizontal="left" vertical="center"/>
    </xf>
    <xf numFmtId="0" fontId="12" fillId="10" borderId="10" xfId="0" applyFont="1" applyFill="1" applyBorder="1" applyAlignment="1">
      <alignment horizontal="left" vertical="center"/>
    </xf>
    <xf numFmtId="0" fontId="24" fillId="7" borderId="0" xfId="0" applyFont="1" applyFill="1" applyAlignment="1">
      <alignment horizontal="center" vertical="center"/>
    </xf>
    <xf numFmtId="0" fontId="25" fillId="12" borderId="37" xfId="0" applyFont="1" applyFill="1" applyBorder="1" applyAlignment="1">
      <alignment horizontal="center" vertical="center"/>
    </xf>
    <xf numFmtId="0" fontId="26" fillId="12" borderId="40" xfId="0" applyFont="1" applyFill="1" applyBorder="1" applyAlignment="1">
      <alignment horizontal="center" vertical="center"/>
    </xf>
    <xf numFmtId="0" fontId="27" fillId="7" borderId="0" xfId="0" applyFont="1" applyFill="1" applyAlignment="1">
      <alignment horizontal="center" vertical="center"/>
    </xf>
    <xf numFmtId="0" fontId="25" fillId="12" borderId="38" xfId="0" applyFont="1" applyFill="1" applyBorder="1" applyAlignment="1">
      <alignment horizontal="center" vertical="center"/>
    </xf>
    <xf numFmtId="0" fontId="26" fillId="12" borderId="33" xfId="0" applyFont="1" applyFill="1" applyBorder="1" applyAlignment="1">
      <alignment horizontal="center" vertical="center"/>
    </xf>
    <xf numFmtId="0" fontId="25" fillId="7" borderId="38" xfId="0" applyFont="1" applyFill="1" applyBorder="1" applyAlignment="1">
      <alignment horizontal="center" vertical="center"/>
    </xf>
    <xf numFmtId="0" fontId="26" fillId="7" borderId="33" xfId="0" applyFont="1" applyFill="1" applyBorder="1" applyAlignment="1">
      <alignment horizontal="center" vertical="center"/>
    </xf>
    <xf numFmtId="0" fontId="28" fillId="7" borderId="33" xfId="0" applyFont="1" applyFill="1" applyBorder="1" applyAlignment="1">
      <alignment horizontal="center" vertical="center"/>
    </xf>
    <xf numFmtId="0" fontId="25" fillId="7" borderId="39" xfId="0" applyFont="1" applyFill="1" applyBorder="1" applyAlignment="1">
      <alignment horizontal="center" vertical="center"/>
    </xf>
    <xf numFmtId="0" fontId="28" fillId="7" borderId="39" xfId="0" applyFont="1" applyFill="1" applyBorder="1" applyAlignment="1">
      <alignment horizontal="center" vertical="center"/>
    </xf>
    <xf numFmtId="0" fontId="25" fillId="7" borderId="0" xfId="0" applyFont="1" applyFill="1" applyAlignment="1">
      <alignment horizontal="center" vertical="center"/>
    </xf>
    <xf numFmtId="0" fontId="26" fillId="7" borderId="0" xfId="0" applyFont="1" applyFill="1" applyAlignment="1">
      <alignment horizontal="center" vertical="center"/>
    </xf>
    <xf numFmtId="0" fontId="25" fillId="12" borderId="40" xfId="0" applyFont="1" applyFill="1" applyBorder="1" applyAlignment="1">
      <alignment horizontal="center" vertical="center"/>
    </xf>
    <xf numFmtId="0" fontId="25" fillId="12" borderId="33" xfId="0" applyFont="1" applyFill="1" applyBorder="1" applyAlignment="1">
      <alignment horizontal="center" vertical="center"/>
    </xf>
    <xf numFmtId="0" fontId="25" fillId="7" borderId="33" xfId="0" applyFont="1" applyFill="1" applyBorder="1" applyAlignment="1">
      <alignment horizontal="center" vertical="center"/>
    </xf>
    <xf numFmtId="0" fontId="25" fillId="7" borderId="41" xfId="0" applyFont="1" applyFill="1" applyBorder="1" applyAlignment="1">
      <alignment horizontal="center" vertical="center"/>
    </xf>
    <xf numFmtId="0" fontId="30" fillId="12" borderId="35" xfId="0" applyFont="1" applyFill="1" applyBorder="1" applyAlignment="1">
      <alignment horizontal="center" vertical="center"/>
    </xf>
    <xf numFmtId="0" fontId="30" fillId="12" borderId="31" xfId="0" applyFont="1" applyFill="1" applyBorder="1" applyAlignment="1">
      <alignment horizontal="center" vertical="center"/>
    </xf>
    <xf numFmtId="0" fontId="30" fillId="7" borderId="31" xfId="0" applyFont="1" applyFill="1" applyBorder="1" applyAlignment="1">
      <alignment horizontal="center" vertical="center"/>
    </xf>
    <xf numFmtId="0" fontId="30" fillId="7" borderId="36" xfId="0" applyFont="1" applyFill="1" applyBorder="1" applyAlignment="1">
      <alignment horizontal="center" vertical="center"/>
    </xf>
    <xf numFmtId="0" fontId="30" fillId="7" borderId="0" xfId="0" applyFont="1" applyFill="1" applyAlignment="1">
      <alignment horizontal="center" vertical="center"/>
    </xf>
    <xf numFmtId="0" fontId="29" fillId="7" borderId="42" xfId="0" applyFont="1" applyFill="1" applyBorder="1">
      <alignment vertical="center"/>
    </xf>
    <xf numFmtId="0" fontId="5" fillId="10" borderId="20" xfId="0" applyFont="1" applyFill="1" applyBorder="1" applyAlignment="1">
      <alignment horizontal="center" vertical="center"/>
    </xf>
    <xf numFmtId="0" fontId="5" fillId="10" borderId="21" xfId="0" applyFont="1" applyFill="1" applyBorder="1" applyAlignment="1">
      <alignment horizontal="left" vertical="center"/>
    </xf>
    <xf numFmtId="0" fontId="16" fillId="0" borderId="0" xfId="0" applyFont="1">
      <alignment vertical="center"/>
    </xf>
    <xf numFmtId="0" fontId="32" fillId="0" borderId="1" xfId="0" applyFont="1" applyBorder="1" applyAlignment="1">
      <alignment horizontal="center" vertical="center"/>
    </xf>
    <xf numFmtId="0" fontId="32" fillId="0" borderId="2" xfId="0" applyFont="1" applyBorder="1" applyAlignment="1">
      <alignment horizontal="center" vertical="center"/>
    </xf>
    <xf numFmtId="0" fontId="33" fillId="0" borderId="2" xfId="0" applyFont="1" applyBorder="1" applyAlignment="1">
      <alignment horizontal="center" vertical="center"/>
    </xf>
    <xf numFmtId="0" fontId="34" fillId="0" borderId="2" xfId="0" applyFont="1" applyBorder="1" applyAlignment="1">
      <alignment horizontal="center" vertical="center"/>
    </xf>
    <xf numFmtId="0" fontId="32" fillId="0" borderId="2" xfId="0" applyFont="1" applyBorder="1" applyAlignment="1">
      <alignment horizontal="center" vertical="center" wrapText="1"/>
    </xf>
    <xf numFmtId="0" fontId="32" fillId="0" borderId="0" xfId="0" applyFont="1" applyAlignment="1">
      <alignment horizontal="center" vertical="center"/>
    </xf>
    <xf numFmtId="0" fontId="32" fillId="0" borderId="3" xfId="0" applyFont="1" applyBorder="1" applyAlignment="1">
      <alignment horizontal="left" vertical="center"/>
    </xf>
    <xf numFmtId="0" fontId="33" fillId="0" borderId="3" xfId="0" applyFont="1" applyBorder="1" applyAlignment="1">
      <alignment horizontal="left" vertical="center"/>
    </xf>
    <xf numFmtId="0" fontId="32" fillId="7" borderId="3" xfId="0" applyFont="1" applyFill="1" applyBorder="1" applyAlignment="1">
      <alignment horizontal="left" vertical="center"/>
    </xf>
    <xf numFmtId="0" fontId="35" fillId="0" borderId="3" xfId="0" applyFont="1" applyBorder="1" applyAlignment="1">
      <alignment horizontal="left" vertical="center" wrapText="1"/>
    </xf>
    <xf numFmtId="0" fontId="32" fillId="0" borderId="0" xfId="0" applyFont="1" applyAlignment="1">
      <alignment horizontal="left" vertical="center"/>
    </xf>
    <xf numFmtId="0" fontId="32" fillId="0" borderId="0" xfId="0" applyFont="1">
      <alignment vertical="center"/>
    </xf>
    <xf numFmtId="0" fontId="32" fillId="0" borderId="3" xfId="0" applyFont="1" applyBorder="1">
      <alignment vertical="center"/>
    </xf>
    <xf numFmtId="0" fontId="32" fillId="0" borderId="3" xfId="0" applyFont="1" applyBorder="1" applyAlignment="1">
      <alignment horizontal="center" vertical="center"/>
    </xf>
    <xf numFmtId="0" fontId="32" fillId="0" borderId="5" xfId="0" applyFont="1" applyBorder="1" applyAlignment="1">
      <alignment horizontal="left" vertical="center"/>
    </xf>
    <xf numFmtId="0" fontId="32" fillId="0" borderId="3" xfId="0" applyFont="1" applyBorder="1" applyAlignment="1">
      <alignment horizontal="center" vertical="center" wrapText="1"/>
    </xf>
    <xf numFmtId="0" fontId="32" fillId="7" borderId="3" xfId="0" applyFont="1" applyFill="1" applyBorder="1" applyAlignment="1">
      <alignment horizontal="center" vertical="center" wrapText="1"/>
    </xf>
    <xf numFmtId="0" fontId="35" fillId="0" borderId="5" xfId="0" applyFont="1" applyBorder="1" applyAlignment="1">
      <alignment horizontal="left" vertical="center" wrapText="1"/>
    </xf>
    <xf numFmtId="0" fontId="33" fillId="0" borderId="5" xfId="0" applyFont="1" applyBorder="1" applyAlignment="1">
      <alignment horizontal="left" vertical="center"/>
    </xf>
    <xf numFmtId="0" fontId="34" fillId="0" borderId="3" xfId="0" applyFont="1" applyBorder="1" applyAlignment="1">
      <alignment horizontal="left" vertical="center"/>
    </xf>
    <xf numFmtId="0" fontId="33" fillId="0" borderId="4" xfId="0" applyFont="1" applyBorder="1" applyAlignment="1">
      <alignment horizontal="left" vertical="center"/>
    </xf>
    <xf numFmtId="0" fontId="36" fillId="0" borderId="2" xfId="0" applyFont="1" applyBorder="1" applyAlignment="1">
      <alignment horizontal="left" vertical="center" wrapText="1"/>
    </xf>
    <xf numFmtId="0" fontId="33" fillId="0" borderId="2" xfId="0" applyFont="1" applyBorder="1" applyAlignment="1">
      <alignment horizontal="left" vertical="center"/>
    </xf>
    <xf numFmtId="0" fontId="32" fillId="0" borderId="4" xfId="0" applyFont="1" applyBorder="1" applyAlignment="1">
      <alignment horizontal="left" vertical="center"/>
    </xf>
    <xf numFmtId="0" fontId="32" fillId="7" borderId="4" xfId="0" applyFont="1" applyFill="1" applyBorder="1" applyAlignment="1">
      <alignment horizontal="left" vertical="center"/>
    </xf>
    <xf numFmtId="0" fontId="35" fillId="0" borderId="4" xfId="0" applyFont="1" applyBorder="1" applyAlignment="1">
      <alignment horizontal="left" vertical="center" wrapText="1"/>
    </xf>
    <xf numFmtId="0" fontId="32" fillId="0" borderId="7" xfId="0" applyFont="1" applyBorder="1" applyAlignment="1">
      <alignment horizontal="left" vertical="center"/>
    </xf>
    <xf numFmtId="0" fontId="32" fillId="7" borderId="0" xfId="0" applyFont="1" applyFill="1" applyAlignment="1">
      <alignment horizontal="center" vertical="center"/>
    </xf>
    <xf numFmtId="0" fontId="35" fillId="0" borderId="0" xfId="0" applyFont="1" applyAlignment="1">
      <alignment horizontal="center" vertical="center" wrapText="1"/>
    </xf>
    <xf numFmtId="0" fontId="32" fillId="7" borderId="0" xfId="0" applyFont="1" applyFill="1" applyAlignment="1">
      <alignment horizontal="left" vertical="center"/>
    </xf>
    <xf numFmtId="0" fontId="35" fillId="0" borderId="0" xfId="0" applyFont="1" applyAlignment="1">
      <alignment vertical="center" wrapText="1"/>
    </xf>
    <xf numFmtId="0" fontId="0" fillId="0" borderId="0" xfId="0" applyAlignment="1"/>
    <xf numFmtId="0" fontId="18" fillId="0" borderId="0" xfId="0" applyFont="1" applyAlignment="1">
      <alignment horizontal="center" vertical="center"/>
    </xf>
    <xf numFmtId="0" fontId="23" fillId="0" borderId="0" xfId="0" applyFont="1">
      <alignment vertical="center"/>
    </xf>
    <xf numFmtId="0" fontId="0" fillId="0" borderId="0" xfId="0" applyAlignment="1"/>
    <xf numFmtId="0" fontId="22" fillId="7" borderId="38" xfId="0" applyFont="1" applyFill="1" applyBorder="1" applyAlignment="1">
      <alignment horizontal="center" vertical="center"/>
    </xf>
    <xf numFmtId="0" fontId="0" fillId="0" borderId="32" xfId="0" applyBorder="1" applyAlignment="1"/>
    <xf numFmtId="0" fontId="0" fillId="0" borderId="33" xfId="0" applyBorder="1" applyAlignment="1"/>
    <xf numFmtId="0" fontId="31" fillId="7" borderId="0" xfId="0" applyFont="1" applyFill="1" applyAlignment="1">
      <alignment horizontal="center" vertical="center"/>
    </xf>
    <xf numFmtId="0" fontId="24" fillId="7" borderId="0" xfId="0" applyFont="1" applyFill="1" applyAlignment="1">
      <alignment horizontal="center" vertical="center"/>
    </xf>
    <xf numFmtId="0" fontId="36" fillId="0" borderId="3" xfId="0" applyFont="1" applyBorder="1" applyAlignment="1">
      <alignment horizontal="left" vertical="center" wrapText="1"/>
    </xf>
    <xf numFmtId="0" fontId="32" fillId="13" borderId="6" xfId="0" applyFont="1" applyFill="1" applyBorder="1" applyAlignment="1">
      <alignment horizontal="left" vertical="center"/>
    </xf>
    <xf numFmtId="0" fontId="32" fillId="14" borderId="6" xfId="0" applyFont="1" applyFill="1" applyBorder="1" applyAlignment="1">
      <alignment horizontal="left" vertical="center"/>
    </xf>
    <xf numFmtId="0" fontId="32" fillId="15" borderId="6" xfId="0" applyFont="1" applyFill="1" applyBorder="1" applyAlignment="1">
      <alignment horizontal="left" vertical="center"/>
    </xf>
    <xf numFmtId="0" fontId="32" fillId="16" borderId="6" xfId="0" applyFont="1" applyFill="1" applyBorder="1" applyAlignment="1">
      <alignment horizontal="left" vertical="center"/>
    </xf>
    <xf numFmtId="0" fontId="32" fillId="17" borderId="6" xfId="0" applyFont="1" applyFill="1" applyBorder="1" applyAlignment="1">
      <alignment horizontal="left" vertical="center"/>
    </xf>
    <xf numFmtId="0" fontId="32" fillId="18" borderId="6" xfId="0" applyFont="1" applyFill="1" applyBorder="1" applyAlignment="1">
      <alignment horizontal="left" vertical="center"/>
    </xf>
    <xf numFmtId="0" fontId="32" fillId="19" borderId="6" xfId="0" applyFont="1" applyFill="1" applyBorder="1" applyAlignment="1">
      <alignment horizontal="left" vertical="center"/>
    </xf>
    <xf numFmtId="0" fontId="32" fillId="20" borderId="6" xfId="0" applyFont="1" applyFill="1" applyBorder="1" applyAlignment="1">
      <alignment horizontal="left" vertical="center"/>
    </xf>
    <xf numFmtId="0" fontId="32" fillId="21" borderId="6" xfId="0" applyFont="1" applyFill="1" applyBorder="1" applyAlignment="1">
      <alignment horizontal="left" vertical="center"/>
    </xf>
    <xf numFmtId="0" fontId="32" fillId="22" borderId="6" xfId="0" applyFont="1" applyFill="1" applyBorder="1" applyAlignment="1">
      <alignment horizontal="left" vertical="center"/>
    </xf>
    <xf numFmtId="0" fontId="32" fillId="23" borderId="6" xfId="0" applyFont="1" applyFill="1" applyBorder="1" applyAlignment="1">
      <alignment horizontal="left" vertical="center"/>
    </xf>
    <xf numFmtId="0" fontId="32" fillId="24" borderId="6" xfId="0" applyFont="1" applyFill="1" applyBorder="1" applyAlignment="1">
      <alignment horizontal="left" vertical="center"/>
    </xf>
    <xf numFmtId="0" fontId="32" fillId="25" borderId="6" xfId="0" applyFont="1" applyFill="1" applyBorder="1" applyAlignment="1">
      <alignment horizontal="left" vertical="center"/>
    </xf>
    <xf numFmtId="0" fontId="32" fillId="26" borderId="6" xfId="0" applyFont="1" applyFill="1" applyBorder="1" applyAlignment="1">
      <alignment horizontal="left" vertical="center"/>
    </xf>
    <xf numFmtId="0" fontId="32" fillId="27" borderId="6" xfId="0" applyFont="1" applyFill="1" applyBorder="1" applyAlignment="1">
      <alignment horizontal="left" vertical="center"/>
    </xf>
    <xf numFmtId="0" fontId="32" fillId="28" borderId="6" xfId="0" applyFont="1" applyFill="1" applyBorder="1" applyAlignment="1">
      <alignment horizontal="left" vertical="center"/>
    </xf>
    <xf numFmtId="0" fontId="32" fillId="29" borderId="6" xfId="0" applyFont="1" applyFill="1" applyBorder="1" applyAlignment="1">
      <alignment horizontal="left" vertical="center"/>
    </xf>
    <xf numFmtId="0" fontId="32" fillId="30" borderId="6" xfId="0" applyFont="1" applyFill="1" applyBorder="1" applyAlignment="1">
      <alignment horizontal="left" vertical="center"/>
    </xf>
    <xf numFmtId="0" fontId="32" fillId="31" borderId="6" xfId="0" applyFont="1" applyFill="1" applyBorder="1" applyAlignment="1">
      <alignment horizontal="left" vertical="center"/>
    </xf>
    <xf numFmtId="0" fontId="32" fillId="32" borderId="6" xfId="0" applyFont="1" applyFill="1" applyBorder="1" applyAlignment="1">
      <alignment horizontal="left" vertical="center"/>
    </xf>
    <xf numFmtId="0" fontId="32" fillId="33" borderId="6" xfId="0" applyFont="1" applyFill="1" applyBorder="1" applyAlignment="1">
      <alignment horizontal="left" vertical="center"/>
    </xf>
    <xf numFmtId="0" fontId="32" fillId="34" borderId="6" xfId="0" applyFont="1" applyFill="1" applyBorder="1" applyAlignment="1">
      <alignment horizontal="left" vertical="center"/>
    </xf>
    <xf numFmtId="0" fontId="32" fillId="35" borderId="6" xfId="0" applyFont="1" applyFill="1" applyBorder="1" applyAlignment="1">
      <alignment horizontal="left" vertical="center"/>
    </xf>
    <xf numFmtId="0" fontId="32" fillId="36" borderId="6" xfId="0" applyFont="1" applyFill="1" applyBorder="1" applyAlignment="1">
      <alignment horizontal="left" vertical="center"/>
    </xf>
    <xf numFmtId="0" fontId="32" fillId="37" borderId="6" xfId="0" applyFont="1" applyFill="1" applyBorder="1" applyAlignment="1">
      <alignment horizontal="left" vertical="center"/>
    </xf>
    <xf numFmtId="0" fontId="32" fillId="38" borderId="6" xfId="0" applyFont="1" applyFill="1" applyBorder="1" applyAlignment="1">
      <alignment horizontal="left" vertical="center"/>
    </xf>
    <xf numFmtId="0" fontId="32" fillId="0" borderId="6" xfId="0" applyFont="1" applyFill="1" applyBorder="1" applyAlignment="1">
      <alignment horizontal="left" vertical="center"/>
    </xf>
    <xf numFmtId="0" fontId="32" fillId="0" borderId="8" xfId="0" applyFont="1" applyFill="1" applyBorder="1" applyAlignment="1">
      <alignment horizontal="left" vertical="center"/>
    </xf>
    <xf numFmtId="0" fontId="37" fillId="0" borderId="2" xfId="0" applyFont="1" applyBorder="1" applyAlignment="1">
      <alignment horizontal="center" vertical="center"/>
    </xf>
    <xf numFmtId="0" fontId="32" fillId="37" borderId="8" xfId="0" applyFont="1" applyFill="1" applyBorder="1" applyAlignment="1">
      <alignment horizontal="left" vertical="center"/>
    </xf>
    <xf numFmtId="0" fontId="32" fillId="26" borderId="3" xfId="0" applyFont="1" applyFill="1" applyBorder="1" applyAlignment="1">
      <alignment horizontal="left" vertical="center"/>
    </xf>
    <xf numFmtId="0" fontId="32" fillId="19" borderId="3" xfId="0" applyFont="1" applyFill="1" applyBorder="1" applyAlignment="1">
      <alignment horizontal="left" vertical="center"/>
    </xf>
    <xf numFmtId="0" fontId="32" fillId="23" borderId="3" xfId="0" applyFont="1" applyFill="1" applyBorder="1" applyAlignment="1">
      <alignment horizontal="left" vertical="center"/>
    </xf>
    <xf numFmtId="0" fontId="32" fillId="22" borderId="3" xfId="0" applyFont="1" applyFill="1" applyBorder="1" applyAlignment="1">
      <alignment horizontal="left" vertical="center"/>
    </xf>
    <xf numFmtId="0" fontId="32" fillId="20" borderId="3" xfId="0" applyFont="1" applyFill="1" applyBorder="1" applyAlignment="1">
      <alignment horizontal="left" vertical="center"/>
    </xf>
    <xf numFmtId="0" fontId="32" fillId="31" borderId="3" xfId="0" applyFont="1" applyFill="1" applyBorder="1" applyAlignment="1">
      <alignment horizontal="left" vertical="center"/>
    </xf>
    <xf numFmtId="0" fontId="32" fillId="13" borderId="3" xfId="0" applyFont="1" applyFill="1" applyBorder="1" applyAlignment="1">
      <alignment horizontal="left" vertical="center"/>
    </xf>
    <xf numFmtId="0" fontId="32" fillId="14" borderId="3" xfId="0" applyFont="1" applyFill="1" applyBorder="1" applyAlignment="1">
      <alignment horizontal="left" vertical="center"/>
    </xf>
    <xf numFmtId="0" fontId="32" fillId="29" borderId="3" xfId="0" applyFont="1" applyFill="1" applyBorder="1" applyAlignment="1">
      <alignment horizontal="left" vertical="center"/>
    </xf>
    <xf numFmtId="0" fontId="32" fillId="35" borderId="3" xfId="0" applyFont="1" applyFill="1" applyBorder="1" applyAlignment="1">
      <alignment horizontal="left" vertical="center"/>
    </xf>
    <xf numFmtId="0" fontId="32" fillId="32" borderId="3" xfId="0" applyFont="1" applyFill="1" applyBorder="1" applyAlignment="1">
      <alignment horizontal="left" vertical="center"/>
    </xf>
    <xf numFmtId="0" fontId="32" fillId="36" borderId="3" xfId="0" applyFont="1" applyFill="1" applyBorder="1" applyAlignment="1">
      <alignment horizontal="left" vertical="center"/>
    </xf>
    <xf numFmtId="0" fontId="32" fillId="24" borderId="3" xfId="0" applyFont="1" applyFill="1" applyBorder="1" applyAlignment="1">
      <alignment horizontal="left" vertical="center"/>
    </xf>
    <xf numFmtId="0" fontId="32" fillId="17" borderId="3" xfId="0" applyFont="1" applyFill="1" applyBorder="1" applyAlignment="1">
      <alignment horizontal="left" vertical="center"/>
    </xf>
    <xf numFmtId="0" fontId="32" fillId="16" borderId="3" xfId="0" applyFont="1" applyFill="1" applyBorder="1" applyAlignment="1">
      <alignment horizontal="left" vertical="center"/>
    </xf>
    <xf numFmtId="0" fontId="32" fillId="21" borderId="3" xfId="0" applyFont="1" applyFill="1" applyBorder="1" applyAlignment="1">
      <alignment horizontal="left" vertical="center"/>
    </xf>
    <xf numFmtId="0" fontId="32" fillId="30" borderId="3" xfId="0" applyFont="1" applyFill="1" applyBorder="1" applyAlignment="1">
      <alignment horizontal="left" vertical="center"/>
    </xf>
    <xf numFmtId="0" fontId="32" fillId="15" borderId="3" xfId="0" applyFont="1" applyFill="1" applyBorder="1" applyAlignment="1">
      <alignment horizontal="left" vertical="center"/>
    </xf>
    <xf numFmtId="0" fontId="32" fillId="34" borderId="3" xfId="0" applyFont="1" applyFill="1" applyBorder="1" applyAlignment="1">
      <alignment horizontal="left" vertical="center"/>
    </xf>
    <xf numFmtId="0" fontId="32" fillId="27" borderId="3" xfId="0" applyFont="1" applyFill="1" applyBorder="1" applyAlignment="1">
      <alignment horizontal="left" vertical="center"/>
    </xf>
    <xf numFmtId="0" fontId="32" fillId="33" borderId="3" xfId="0" applyFont="1" applyFill="1" applyBorder="1" applyAlignment="1">
      <alignment horizontal="left" vertical="center"/>
    </xf>
    <xf numFmtId="0" fontId="32" fillId="25" borderId="3" xfId="0" applyFont="1" applyFill="1" applyBorder="1" applyAlignment="1">
      <alignment horizontal="left" vertical="center"/>
    </xf>
    <xf numFmtId="0" fontId="32" fillId="28" borderId="3" xfId="0" applyFont="1" applyFill="1" applyBorder="1" applyAlignment="1">
      <alignment horizontal="left" vertical="center"/>
    </xf>
    <xf numFmtId="0" fontId="32" fillId="38" borderId="3" xfId="0" applyFont="1" applyFill="1" applyBorder="1" applyAlignment="1">
      <alignment horizontal="left" vertical="center"/>
    </xf>
    <xf numFmtId="0" fontId="32" fillId="37" borderId="3" xfId="0" applyFont="1" applyFill="1" applyBorder="1" applyAlignment="1">
      <alignment horizontal="left" vertical="center"/>
    </xf>
    <xf numFmtId="0" fontId="32" fillId="18" borderId="3" xfId="0" applyFont="1" applyFill="1" applyBorder="1" applyAlignment="1">
      <alignment horizontal="left" vertical="center"/>
    </xf>
    <xf numFmtId="0" fontId="32" fillId="0" borderId="3" xfId="0" applyFont="1" applyFill="1" applyBorder="1" applyAlignment="1">
      <alignment horizontal="left" vertical="center"/>
    </xf>
  </cellXfs>
  <cellStyles count="2">
    <cellStyle name="スタイル 1" xfId="1" xr:uid="{00000000-0005-0000-0000-000001000000}"/>
    <cellStyle name="標準" xfId="0" builtinId="0"/>
  </cellStyles>
  <dxfs count="34">
    <dxf>
      <fill>
        <patternFill patternType="solid">
          <fgColor rgb="FFBDD7EE"/>
          <bgColor rgb="FF000000"/>
        </patternFill>
      </fill>
    </dxf>
    <dxf>
      <fill>
        <patternFill patternType="solid">
          <fgColor rgb="FFBDD7EE"/>
          <bgColor rgb="FF000000"/>
        </patternFill>
      </fill>
    </dxf>
    <dxf>
      <font>
        <color rgb="FF9C0006"/>
      </font>
    </dxf>
    <dxf>
      <font>
        <color rgb="FF9C0006"/>
      </font>
    </dxf>
    <dxf>
      <font>
        <strike val="0"/>
        <outline val="0"/>
        <shadow val="0"/>
        <vertAlign val="baseline"/>
        <sz val="11"/>
        <color theme="1"/>
        <name val="メイリオ"/>
        <family val="3"/>
        <charset val="128"/>
      </font>
      <alignment horizontal="left" vertical="center"/>
    </dxf>
    <dxf>
      <font>
        <strike val="0"/>
        <outline val="0"/>
        <shadow val="0"/>
        <vertAlign val="baseline"/>
        <sz val="11"/>
        <color theme="1"/>
        <name val="メイリオ"/>
        <family val="3"/>
        <charset val="128"/>
      </font>
      <alignment horizontal="left" vertical="center"/>
    </dxf>
    <dxf>
      <font>
        <strike val="0"/>
        <outline val="0"/>
        <shadow val="0"/>
        <vertAlign val="baseline"/>
        <sz val="11"/>
        <color theme="1"/>
        <name val="メイリオ"/>
        <family val="3"/>
        <charset val="128"/>
      </font>
      <alignment horizontal="left" vertical="center"/>
    </dxf>
    <dxf>
      <font>
        <strike val="0"/>
        <outline val="0"/>
        <shadow val="0"/>
        <vertAlign val="baseline"/>
        <sz val="11"/>
        <color theme="1"/>
        <name val="メイリオ"/>
        <family val="3"/>
        <charset val="128"/>
      </font>
      <alignment horizontal="left" vertical="center"/>
    </dxf>
    <dxf>
      <font>
        <strike val="0"/>
        <outline val="0"/>
        <shadow val="0"/>
        <vertAlign val="baseline"/>
        <sz val="11"/>
        <color theme="1"/>
        <name val="メイリオ"/>
        <family val="3"/>
        <charset val="128"/>
      </font>
      <alignment horizontal="left" vertical="center"/>
    </dxf>
    <dxf>
      <font>
        <strike val="0"/>
        <outline val="0"/>
        <shadow val="0"/>
        <vertAlign val="baseline"/>
        <sz val="11"/>
        <color theme="1"/>
        <name val="メイリオ"/>
        <family val="3"/>
        <charset val="128"/>
      </font>
      <alignment horizontal="left" vertical="center"/>
    </dxf>
    <dxf>
      <font>
        <strike val="0"/>
        <condense val="0"/>
        <extend val="0"/>
        <outline val="0"/>
        <shadow val="0"/>
        <vertAlign val="baseline"/>
        <sz val="11"/>
        <color theme="1"/>
        <name val="メイリオ"/>
        <family val="3"/>
        <charset val="128"/>
      </font>
      <alignment horizontal="left" vertical="center"/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1"/>
        <color rgb="FFFF0000"/>
        <name val="メイリオ"/>
        <family val="3"/>
        <charset val="128"/>
      </font>
      <alignment horizontal="left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9"/>
        <color theme="1"/>
        <name val="メイリオ"/>
        <family val="3"/>
        <charset val="128"/>
      </font>
      <alignment horizontal="left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1"/>
        <color rgb="FFFF0000"/>
        <name val="メイリオ"/>
        <family val="3"/>
        <charset val="128"/>
      </font>
      <alignment horizontal="left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メイリオ"/>
        <family val="3"/>
        <charset val="128"/>
      </font>
      <alignment horizontal="left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メイリオ"/>
        <family val="3"/>
        <charset val="128"/>
      </font>
      <alignment horizontal="left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メイリオ"/>
        <family val="3"/>
        <charset val="128"/>
      </font>
      <alignment horizontal="left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メイリオ"/>
        <family val="3"/>
        <charset val="128"/>
      </font>
      <fill>
        <patternFill>
          <fgColor indexed="64"/>
          <bgColor auto="1"/>
        </patternFill>
      </fill>
      <alignment horizontal="left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メイリオ"/>
        <family val="3"/>
        <charset val="128"/>
      </font>
      <fill>
        <patternFill patternType="solid">
          <fgColor indexed="64"/>
          <bgColor theme="0"/>
        </patternFill>
      </fill>
      <alignment horizontal="left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メイリオ"/>
        <family val="3"/>
        <charset val="128"/>
      </font>
      <fill>
        <patternFill>
          <fgColor indexed="64"/>
          <bgColor auto="1"/>
        </patternFill>
      </fill>
      <alignment horizontal="left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メイリオ"/>
        <family val="3"/>
        <charset val="128"/>
      </font>
      <alignment horizontal="left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メイリオ"/>
        <family val="3"/>
        <charset val="128"/>
      </font>
      <alignment horizontal="left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メイリオ"/>
        <family val="3"/>
        <charset val="128"/>
      </font>
      <alignment horizontal="left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1"/>
        <color rgb="FFFF0000"/>
        <name val="メイリオ"/>
        <family val="3"/>
        <charset val="128"/>
      </font>
      <alignment horizontal="left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メイリオ"/>
        <family val="3"/>
        <charset val="128"/>
      </font>
      <alignment horizontal="left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メイリオ"/>
        <family val="3"/>
        <charset val="128"/>
      </font>
      <alignment horizontal="left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メイリオ"/>
        <family val="3"/>
        <charset val="128"/>
      </font>
      <alignment horizontal="left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メイリオ"/>
        <family val="3"/>
        <charset val="128"/>
      </font>
      <alignment horizontal="left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メイリオ"/>
        <family val="3"/>
        <charset val="128"/>
      </font>
      <alignment horizontal="left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メイリオ"/>
        <family val="3"/>
        <charset val="128"/>
      </font>
      <alignment horizontal="left" vertical="center"/>
      <border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vertAlign val="baseline"/>
        <sz val="11"/>
        <name val="メイリオ"/>
        <family val="3"/>
        <charset val="128"/>
      </font>
      <alignment horizontal="left" vertical="center"/>
    </dxf>
    <dxf>
      <border outline="0">
        <bottom style="thin">
          <color rgb="FF000000"/>
        </bottom>
      </border>
    </dxf>
    <dxf>
      <font>
        <strike val="0"/>
        <outline val="0"/>
        <shadow val="0"/>
        <vertAlign val="baseline"/>
        <sz val="11"/>
        <name val="メイリオ"/>
        <family val="3"/>
        <charset val="128"/>
      </font>
      <fill>
        <patternFill>
          <fgColor indexed="64"/>
          <bgColor auto="1"/>
        </patternFill>
      </fill>
      <alignment horizontal="center" vertical="center"/>
    </dxf>
  </dxfs>
  <tableStyles count="3" defaultTableStyle="TableStyleMedium2" defaultPivotStyle="PivotStyleLight16">
    <tableStyle name="ピボットテーブル スタイル 1" table="0" count="0" xr9:uid="{00000000-0011-0000-FFFF-FFFF00000000}"/>
    <tableStyle name="ピボットテーブル スタイル 2" table="0" count="0" xr9:uid="{00000000-0011-0000-FFFF-FFFF01000000}"/>
    <tableStyle name="ピボットテーブル スタイル 3" table="0" count="0" xr9:uid="{00000000-0011-0000-FFFF-FFFF02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テーブル167" displayName="テーブル167" ref="A1:Z293" totalsRowShown="0" headerRowDxfId="33" dataDxfId="31" headerRowBorderDxfId="32" tableBorderDxfId="30">
  <autoFilter ref="A1:Z293" xr:uid="{00000000-0009-0000-0100-000001000000}"/>
  <sortState xmlns:xlrd2="http://schemas.microsoft.com/office/spreadsheetml/2017/richdata2" ref="A2:Z293">
    <sortCondition ref="D1:D293"/>
  </sortState>
  <tableColumns count="26">
    <tableColumn id="1" xr3:uid="{00000000-0010-0000-0000-000001000000}" name="地区" dataDxfId="29"/>
    <tableColumn id="2" xr3:uid="{00000000-0010-0000-0000-000002000000}" name="業種" dataDxfId="28"/>
    <tableColumn id="3" xr3:uid="{00000000-0010-0000-0000-000003000000}" name="確認" dataDxfId="27"/>
    <tableColumn id="4" xr3:uid="{00000000-0010-0000-0000-000004000000}" name="整理番号" dataDxfId="26"/>
    <tableColumn id="24" xr3:uid="{00000000-0010-0000-0000-000018000000}" name="登録番号" dataDxfId="25"/>
    <tableColumn id="5" xr3:uid="{00000000-0010-0000-0000-000005000000}" name="契約物件" dataDxfId="24"/>
    <tableColumn id="23" xr3:uid="{00000000-0010-0000-0000-000017000000}" name="計量" dataDxfId="23"/>
    <tableColumn id="6" xr3:uid="{00000000-0010-0000-0000-000006000000}" name="電話番号" dataDxfId="22"/>
    <tableColumn id="7" xr3:uid="{00000000-0010-0000-0000-000007000000}" name="月曜日" dataDxfId="21"/>
    <tableColumn id="8" xr3:uid="{00000000-0010-0000-0000-000008000000}" name="火曜日" dataDxfId="20"/>
    <tableColumn id="27" xr3:uid="{00000000-0010-0000-0000-00001B000000}" name="水曜日" dataDxfId="19"/>
    <tableColumn id="9" xr3:uid="{00000000-0010-0000-0000-000009000000}" name="木曜日" dataDxfId="18"/>
    <tableColumn id="26" xr3:uid="{00000000-0010-0000-0000-00001A000000}" name="金曜日" dataDxfId="17"/>
    <tableColumn id="10" xr3:uid="{00000000-0010-0000-0000-00000A000000}" name="土曜日" dataDxfId="16"/>
    <tableColumn id="11" xr3:uid="{00000000-0010-0000-0000-00000B000000}" name="日曜日" dataDxfId="15"/>
    <tableColumn id="12" xr3:uid="{00000000-0010-0000-0000-00000C000000}" name="金属" dataDxfId="14"/>
    <tableColumn id="13" xr3:uid="{00000000-0010-0000-0000-00000D000000}" name="木曜段紙" dataDxfId="13"/>
    <tableColumn id="21" xr3:uid="{00000000-0010-0000-0000-000015000000}" name="備考2" dataDxfId="12"/>
    <tableColumn id="36" xr3:uid="{00000000-0010-0000-0000-000024000000}" name="備考" dataDxfId="11"/>
    <tableColumn id="22" xr3:uid="{00000000-0010-0000-0000-000016000000}" name="収集時間" dataDxfId="10"/>
    <tableColumn id="25" xr3:uid="{00000000-0010-0000-0000-000019000000}" name="回収曜日(月）" dataDxfId="9"/>
    <tableColumn id="31" xr3:uid="{00000000-0010-0000-0000-00001F000000}" name="回収曜日(火）" dataDxfId="8"/>
    <tableColumn id="32" xr3:uid="{00000000-0010-0000-0000-000020000000}" name="回収曜日(水）" dataDxfId="7"/>
    <tableColumn id="33" xr3:uid="{00000000-0010-0000-0000-000021000000}" name="回収曜日(木）" dataDxfId="6"/>
    <tableColumn id="34" xr3:uid="{00000000-0010-0000-0000-000022000000}" name="回収曜日(金）" dataDxfId="5"/>
    <tableColumn id="35" xr3:uid="{00000000-0010-0000-0000-000023000000}" name="回収曜日(土）" dataDxfId="4"/>
  </tableColumns>
  <tableStyleInfo name="TableStyleLight15" showFirstColumn="0" showLastColumn="0" showRowStripes="0" showColumnStripes="1"/>
</table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7FF4061-D0D4-7442-9A6E-17393E423F03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6f0ffde3-1e9b-498e-bca0-bd9be1611617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AK304"/>
  <sheetViews>
    <sheetView tabSelected="1" zoomScale="139" zoomScaleNormal="139" zoomScaleSheetLayoutView="98" zoomScalePageLayoutView="69" workbookViewId="0">
      <pane ySplit="1" topLeftCell="A163" activePane="bottomLeft" state="frozen"/>
      <selection pane="bottomLeft" activeCell="D179" sqref="D179"/>
    </sheetView>
  </sheetViews>
  <sheetFormatPr baseColWidth="10" defaultColWidth="8.6640625" defaultRowHeight="22.5" customHeight="1"/>
  <cols>
    <col min="1" max="1" width="9.1640625" style="206" bestFit="1" customWidth="1"/>
    <col min="2" max="2" width="11.5" style="206" bestFit="1" customWidth="1"/>
    <col min="3" max="3" width="7.1640625" style="206" bestFit="1" customWidth="1"/>
    <col min="4" max="4" width="11" style="206" bestFit="1" customWidth="1"/>
    <col min="5" max="5" width="13" style="206" bestFit="1" customWidth="1"/>
    <col min="6" max="6" width="45.6640625" style="206" bestFit="1" customWidth="1"/>
    <col min="7" max="7" width="8.6640625" style="206" bestFit="1" customWidth="1"/>
    <col min="8" max="8" width="14" style="206" bestFit="1" customWidth="1"/>
    <col min="9" max="10" width="9.6640625" style="206" customWidth="1"/>
    <col min="11" max="11" width="9.6640625" style="207" customWidth="1"/>
    <col min="12" max="12" width="9.6640625" style="225" customWidth="1"/>
    <col min="13" max="15" width="9.6640625" style="206" customWidth="1"/>
    <col min="16" max="16" width="13.1640625" style="206" bestFit="1" customWidth="1"/>
    <col min="17" max="17" width="9.1640625" style="206" bestFit="1" customWidth="1"/>
    <col min="18" max="18" width="20.5" style="226" bestFit="1" customWidth="1"/>
    <col min="19" max="19" width="19.33203125" style="206" customWidth="1"/>
    <col min="20" max="20" width="13.1640625" style="206" bestFit="1" customWidth="1"/>
    <col min="21" max="26" width="17.83203125" style="206" bestFit="1" customWidth="1"/>
    <col min="27" max="27" width="2.83203125" style="206" customWidth="1"/>
    <col min="28" max="28" width="17" style="206" customWidth="1"/>
    <col min="29" max="30" width="8.6640625" style="201" customWidth="1"/>
    <col min="31" max="31" width="11" style="207" customWidth="1"/>
    <col min="32" max="32" width="8.6640625" style="201" customWidth="1"/>
    <col min="33" max="16384" width="8.6640625" style="201"/>
  </cols>
  <sheetData>
    <row r="1" spans="1:37" ht="27" customHeight="1">
      <c r="A1" s="196" t="s">
        <v>0</v>
      </c>
      <c r="B1" s="197" t="s">
        <v>1</v>
      </c>
      <c r="C1" s="197" t="s">
        <v>2</v>
      </c>
      <c r="D1" s="197" t="s">
        <v>3</v>
      </c>
      <c r="E1" s="197" t="s">
        <v>4</v>
      </c>
      <c r="F1" s="197" t="s">
        <v>5</v>
      </c>
      <c r="G1" s="197" t="s">
        <v>6</v>
      </c>
      <c r="H1" s="197" t="s">
        <v>7</v>
      </c>
      <c r="I1" s="197" t="s">
        <v>8</v>
      </c>
      <c r="J1" s="197" t="s">
        <v>9</v>
      </c>
      <c r="K1" s="199" t="s">
        <v>768</v>
      </c>
      <c r="L1" s="265" t="s">
        <v>769</v>
      </c>
      <c r="M1" s="265" t="s">
        <v>770</v>
      </c>
      <c r="N1" s="197" t="s">
        <v>771</v>
      </c>
      <c r="O1" s="197" t="s">
        <v>772</v>
      </c>
      <c r="P1" s="197" t="s">
        <v>773</v>
      </c>
      <c r="Q1" s="198" t="s">
        <v>774</v>
      </c>
      <c r="R1" s="200" t="s">
        <v>16</v>
      </c>
      <c r="S1" s="199" t="s">
        <v>17</v>
      </c>
      <c r="T1" s="197" t="s">
        <v>18</v>
      </c>
      <c r="U1" s="200" t="s">
        <v>19</v>
      </c>
      <c r="V1" s="200" t="s">
        <v>20</v>
      </c>
      <c r="W1" s="200" t="s">
        <v>21</v>
      </c>
      <c r="X1" s="200" t="s">
        <v>22</v>
      </c>
      <c r="Y1" s="200" t="s">
        <v>23</v>
      </c>
      <c r="Z1" s="200" t="s">
        <v>24</v>
      </c>
      <c r="AA1" s="201"/>
      <c r="AB1" s="201"/>
      <c r="AE1" s="201"/>
    </row>
    <row r="2" spans="1:37" ht="21" customHeight="1">
      <c r="A2" s="250" t="s">
        <v>25</v>
      </c>
      <c r="B2" s="202" t="s">
        <v>26</v>
      </c>
      <c r="C2" s="202" t="s">
        <v>27</v>
      </c>
      <c r="D2" s="267">
        <v>1</v>
      </c>
      <c r="E2" s="202">
        <v>1</v>
      </c>
      <c r="F2" s="202" t="s">
        <v>28</v>
      </c>
      <c r="G2" s="203"/>
      <c r="H2" s="202" t="s">
        <v>29</v>
      </c>
      <c r="I2" s="202"/>
      <c r="J2" s="204" t="s">
        <v>30</v>
      </c>
      <c r="K2" s="202"/>
      <c r="L2" s="204"/>
      <c r="M2" s="202" t="s">
        <v>31</v>
      </c>
      <c r="N2" s="202"/>
      <c r="O2" s="202"/>
      <c r="P2" s="202"/>
      <c r="Q2" s="203"/>
      <c r="R2" s="205"/>
      <c r="S2" s="203"/>
      <c r="T2" s="202"/>
      <c r="U2" s="202"/>
      <c r="V2" s="202" t="s">
        <v>32</v>
      </c>
      <c r="W2" s="202"/>
      <c r="X2" s="202"/>
      <c r="Y2" s="202" t="s">
        <v>33</v>
      </c>
      <c r="Z2" s="202"/>
      <c r="AB2" s="201"/>
      <c r="AC2" s="207"/>
      <c r="AE2" s="201"/>
    </row>
    <row r="3" spans="1:37" ht="21" customHeight="1">
      <c r="A3" s="250" t="s">
        <v>25</v>
      </c>
      <c r="B3" s="202" t="s">
        <v>34</v>
      </c>
      <c r="C3" s="202" t="s">
        <v>27</v>
      </c>
      <c r="D3" s="267">
        <v>2</v>
      </c>
      <c r="E3" s="202">
        <v>2</v>
      </c>
      <c r="F3" s="202" t="s">
        <v>35</v>
      </c>
      <c r="G3" s="203"/>
      <c r="H3" s="202"/>
      <c r="I3" s="202"/>
      <c r="J3" s="202"/>
      <c r="K3" s="202"/>
      <c r="L3" s="204"/>
      <c r="M3" s="202" t="s">
        <v>31</v>
      </c>
      <c r="N3" s="202"/>
      <c r="O3" s="202"/>
      <c r="P3" s="202" t="s">
        <v>14</v>
      </c>
      <c r="Q3" s="203" t="s">
        <v>36</v>
      </c>
      <c r="R3" s="205"/>
      <c r="S3" s="203"/>
      <c r="T3" s="202"/>
      <c r="U3" s="202"/>
      <c r="V3" s="202"/>
      <c r="W3" s="202"/>
      <c r="X3" s="202"/>
      <c r="Y3" s="202" t="s">
        <v>33</v>
      </c>
      <c r="Z3" s="202"/>
      <c r="AB3" s="201"/>
      <c r="AC3" s="208" t="s">
        <v>37</v>
      </c>
      <c r="AD3" s="209" t="s">
        <v>38</v>
      </c>
      <c r="AE3" s="209" t="s">
        <v>39</v>
      </c>
      <c r="AF3" s="209" t="s">
        <v>15</v>
      </c>
      <c r="AG3" s="209" t="s">
        <v>40</v>
      </c>
      <c r="AH3" s="209" t="s">
        <v>41</v>
      </c>
      <c r="AI3" s="209" t="s">
        <v>42</v>
      </c>
      <c r="AJ3" s="209" t="s">
        <v>43</v>
      </c>
      <c r="AK3" s="209" t="s">
        <v>44</v>
      </c>
    </row>
    <row r="4" spans="1:37" ht="21" customHeight="1">
      <c r="A4" s="250" t="s">
        <v>25</v>
      </c>
      <c r="B4" s="202" t="s">
        <v>34</v>
      </c>
      <c r="C4" s="202" t="s">
        <v>27</v>
      </c>
      <c r="D4" s="267">
        <v>3</v>
      </c>
      <c r="E4" s="202">
        <v>3</v>
      </c>
      <c r="F4" s="202" t="s">
        <v>45</v>
      </c>
      <c r="G4" s="203"/>
      <c r="H4" s="202" t="s">
        <v>46</v>
      </c>
      <c r="I4" s="202"/>
      <c r="J4" s="202"/>
      <c r="K4" s="202"/>
      <c r="L4" s="204"/>
      <c r="M4" s="202" t="s">
        <v>31</v>
      </c>
      <c r="N4" s="202"/>
      <c r="O4" s="202"/>
      <c r="P4" s="202"/>
      <c r="Q4" s="203" t="s">
        <v>36</v>
      </c>
      <c r="R4" s="205"/>
      <c r="S4" s="203"/>
      <c r="T4" s="202"/>
      <c r="U4" s="202"/>
      <c r="V4" s="202"/>
      <c r="W4" s="202"/>
      <c r="X4" s="202"/>
      <c r="Y4" s="202" t="s">
        <v>33</v>
      </c>
      <c r="Z4" s="202"/>
      <c r="AB4" s="201"/>
      <c r="AC4" s="208" t="s">
        <v>36</v>
      </c>
      <c r="AD4" s="209">
        <f>COUNTIF(I$2:I293,"段紙")</f>
        <v>2</v>
      </c>
      <c r="AE4" s="209">
        <f>COUNTIF(J$2:J293,"段紙")</f>
        <v>0</v>
      </c>
      <c r="AF4" s="209">
        <f>COUNTIF(M$2:M293,"段紙")</f>
        <v>2</v>
      </c>
      <c r="AG4" s="209">
        <f>COUNTIF(K$2:K293,"段紙")</f>
        <v>2</v>
      </c>
      <c r="AH4" s="209">
        <f>COUNTIF(L$2:L293,"段紙")</f>
        <v>0</v>
      </c>
      <c r="AI4" s="209">
        <f>COUNTIF(N$2:N293,"段紙")</f>
        <v>2</v>
      </c>
      <c r="AJ4" s="209">
        <f>COUNTIF(O$2:O293,"段紙")</f>
        <v>0</v>
      </c>
      <c r="AK4" s="209">
        <f>COUNTIF(P$2:P293,"段紙")</f>
        <v>0</v>
      </c>
    </row>
    <row r="5" spans="1:37" ht="21" customHeight="1">
      <c r="A5" s="250" t="s">
        <v>25</v>
      </c>
      <c r="B5" s="202" t="s">
        <v>26</v>
      </c>
      <c r="C5" s="202" t="s">
        <v>27</v>
      </c>
      <c r="D5" s="267">
        <v>4</v>
      </c>
      <c r="E5" s="202">
        <v>4</v>
      </c>
      <c r="F5" s="202" t="s">
        <v>47</v>
      </c>
      <c r="G5" s="203"/>
      <c r="H5" s="202"/>
      <c r="I5" s="202" t="s">
        <v>30</v>
      </c>
      <c r="J5" s="202"/>
      <c r="K5" s="202"/>
      <c r="L5" s="204" t="s">
        <v>30</v>
      </c>
      <c r="M5" s="202"/>
      <c r="N5" s="202"/>
      <c r="O5" s="202"/>
      <c r="P5" s="202"/>
      <c r="Q5" s="203"/>
      <c r="R5" s="205"/>
      <c r="S5" s="203"/>
      <c r="T5" s="210"/>
      <c r="U5" s="202" t="s">
        <v>48</v>
      </c>
      <c r="V5" s="202"/>
      <c r="W5" s="202"/>
      <c r="X5" s="202" t="s">
        <v>49</v>
      </c>
      <c r="Y5" s="202"/>
      <c r="Z5" s="202"/>
      <c r="AB5" s="201"/>
      <c r="AC5" s="207"/>
      <c r="AE5" s="201"/>
    </row>
    <row r="6" spans="1:37" ht="21" customHeight="1">
      <c r="A6" s="250" t="s">
        <v>25</v>
      </c>
      <c r="B6" s="202" t="s">
        <v>50</v>
      </c>
      <c r="C6" s="202" t="s">
        <v>27</v>
      </c>
      <c r="D6" s="267">
        <v>5</v>
      </c>
      <c r="E6" s="202">
        <v>5</v>
      </c>
      <c r="F6" s="202" t="s">
        <v>51</v>
      </c>
      <c r="G6" s="203" t="s">
        <v>52</v>
      </c>
      <c r="H6" s="202"/>
      <c r="I6" s="202" t="s">
        <v>31</v>
      </c>
      <c r="J6" s="202" t="s">
        <v>31</v>
      </c>
      <c r="K6" s="202" t="s">
        <v>30</v>
      </c>
      <c r="L6" s="204" t="s">
        <v>31</v>
      </c>
      <c r="M6" s="202" t="s">
        <v>31</v>
      </c>
      <c r="N6" s="202" t="s">
        <v>53</v>
      </c>
      <c r="O6" s="202"/>
      <c r="P6" s="202"/>
      <c r="Q6" s="203"/>
      <c r="R6" s="205"/>
      <c r="S6" s="203"/>
      <c r="T6" s="202"/>
      <c r="U6" s="202" t="s">
        <v>48</v>
      </c>
      <c r="V6" s="202" t="s">
        <v>32</v>
      </c>
      <c r="W6" s="202" t="s">
        <v>54</v>
      </c>
      <c r="X6" s="202" t="s">
        <v>49</v>
      </c>
      <c r="Y6" s="202" t="s">
        <v>33</v>
      </c>
      <c r="Z6" s="202" t="s">
        <v>55</v>
      </c>
      <c r="AB6" s="201"/>
      <c r="AC6" s="208"/>
      <c r="AD6" s="209"/>
      <c r="AE6" s="209"/>
      <c r="AF6" s="209"/>
      <c r="AG6" s="209"/>
      <c r="AH6" s="209"/>
      <c r="AI6" s="209"/>
      <c r="AJ6" s="209"/>
      <c r="AK6" s="209"/>
    </row>
    <row r="7" spans="1:37" ht="21" customHeight="1">
      <c r="A7" s="250" t="s">
        <v>25</v>
      </c>
      <c r="B7" s="202" t="s">
        <v>50</v>
      </c>
      <c r="C7" s="202" t="s">
        <v>27</v>
      </c>
      <c r="D7" s="267">
        <v>6</v>
      </c>
      <c r="E7" s="202">
        <v>6</v>
      </c>
      <c r="F7" s="202" t="s">
        <v>56</v>
      </c>
      <c r="G7" s="203" t="s">
        <v>52</v>
      </c>
      <c r="H7" s="202" t="s">
        <v>57</v>
      </c>
      <c r="I7" s="202" t="s">
        <v>31</v>
      </c>
      <c r="J7" s="202" t="s">
        <v>31</v>
      </c>
      <c r="K7" s="202" t="s">
        <v>30</v>
      </c>
      <c r="L7" s="204" t="s">
        <v>31</v>
      </c>
      <c r="M7" s="202" t="s">
        <v>31</v>
      </c>
      <c r="N7" s="202" t="s">
        <v>53</v>
      </c>
      <c r="O7" s="202"/>
      <c r="P7" s="202" t="s">
        <v>14</v>
      </c>
      <c r="Q7" s="203"/>
      <c r="R7" s="205" t="s">
        <v>58</v>
      </c>
      <c r="S7" s="203"/>
      <c r="T7" s="202"/>
      <c r="U7" s="202" t="s">
        <v>48</v>
      </c>
      <c r="V7" s="202" t="s">
        <v>32</v>
      </c>
      <c r="W7" s="202" t="s">
        <v>54</v>
      </c>
      <c r="X7" s="202" t="s">
        <v>49</v>
      </c>
      <c r="Y7" s="202" t="s">
        <v>33</v>
      </c>
      <c r="Z7" s="202" t="s">
        <v>55</v>
      </c>
      <c r="AB7" s="201"/>
      <c r="AC7" s="208" t="s">
        <v>14</v>
      </c>
      <c r="AD7" s="209">
        <f>COUNTIF(I$2:I293,"金属")</f>
        <v>0</v>
      </c>
      <c r="AE7" s="209">
        <f>COUNTIF(J$2:J293,"金属")</f>
        <v>0</v>
      </c>
      <c r="AF7" s="209">
        <f>COUNTIF(M$2:M293,"金属")</f>
        <v>0</v>
      </c>
      <c r="AG7" s="209">
        <f>COUNTIF(K$2:K293,"金属")</f>
        <v>0</v>
      </c>
      <c r="AH7" s="209">
        <f>COUNTIF(L$2:L293,"金属")</f>
        <v>0</v>
      </c>
      <c r="AI7" s="209">
        <f>COUNTIF(N$2:N293,"金属")</f>
        <v>0</v>
      </c>
      <c r="AJ7" s="209">
        <f>COUNTIF(O$2:O293,"金属")</f>
        <v>0</v>
      </c>
      <c r="AK7" s="209">
        <f>COUNTIF(P$2:P293,"金属")</f>
        <v>67</v>
      </c>
    </row>
    <row r="8" spans="1:37" ht="21" customHeight="1">
      <c r="A8" s="250" t="s">
        <v>25</v>
      </c>
      <c r="B8" s="202" t="s">
        <v>50</v>
      </c>
      <c r="C8" s="202" t="s">
        <v>27</v>
      </c>
      <c r="D8" s="267">
        <v>7</v>
      </c>
      <c r="E8" s="202">
        <v>7</v>
      </c>
      <c r="F8" s="202" t="s">
        <v>59</v>
      </c>
      <c r="G8" s="203" t="s">
        <v>52</v>
      </c>
      <c r="H8" s="202" t="s">
        <v>60</v>
      </c>
      <c r="I8" s="202" t="s">
        <v>31</v>
      </c>
      <c r="J8" s="202" t="s">
        <v>31</v>
      </c>
      <c r="K8" s="202" t="s">
        <v>30</v>
      </c>
      <c r="L8" s="204" t="s">
        <v>31</v>
      </c>
      <c r="M8" s="202" t="s">
        <v>31</v>
      </c>
      <c r="N8" s="202" t="s">
        <v>53</v>
      </c>
      <c r="O8" s="202"/>
      <c r="P8" s="202" t="s">
        <v>14</v>
      </c>
      <c r="Q8" s="203"/>
      <c r="R8" s="205" t="s">
        <v>61</v>
      </c>
      <c r="S8" s="203"/>
      <c r="T8" s="202"/>
      <c r="U8" s="202" t="s">
        <v>48</v>
      </c>
      <c r="V8" s="202" t="s">
        <v>32</v>
      </c>
      <c r="W8" s="202" t="s">
        <v>54</v>
      </c>
      <c r="X8" s="202" t="s">
        <v>49</v>
      </c>
      <c r="Y8" s="202" t="s">
        <v>33</v>
      </c>
      <c r="Z8" s="202" t="s">
        <v>55</v>
      </c>
      <c r="AB8" s="201"/>
      <c r="AC8" s="208" t="s">
        <v>53</v>
      </c>
      <c r="AD8" s="209">
        <f>COUNTIF(I2:I293,"〇")</f>
        <v>0</v>
      </c>
      <c r="AE8" s="209">
        <f>COUNTIF(J2:J293,"〇")</f>
        <v>0</v>
      </c>
      <c r="AF8" s="209">
        <f>COUNTIF(M2:M293,"〇")</f>
        <v>0</v>
      </c>
      <c r="AG8" s="209">
        <f>COUNTIF(K2:K293,"〇")</f>
        <v>0</v>
      </c>
      <c r="AH8" s="209">
        <f>COUNTIF(L2:L293,"〇")</f>
        <v>0</v>
      </c>
      <c r="AI8" s="209">
        <f>COUNTIF(N2:N293,"〇")</f>
        <v>21</v>
      </c>
      <c r="AJ8" s="209">
        <f>COUNTIF(O2:O293,"〇")</f>
        <v>0</v>
      </c>
      <c r="AK8" s="209">
        <f>COUNTIF(P2:P293,"〇")</f>
        <v>0</v>
      </c>
    </row>
    <row r="9" spans="1:37" ht="21" customHeight="1">
      <c r="A9" s="250" t="s">
        <v>25</v>
      </c>
      <c r="B9" s="202" t="s">
        <v>50</v>
      </c>
      <c r="C9" s="202" t="s">
        <v>27</v>
      </c>
      <c r="D9" s="267">
        <v>8</v>
      </c>
      <c r="E9" s="202">
        <v>8</v>
      </c>
      <c r="F9" s="202" t="s">
        <v>62</v>
      </c>
      <c r="G9" s="203" t="s">
        <v>52</v>
      </c>
      <c r="H9" s="202"/>
      <c r="I9" s="202" t="s">
        <v>36</v>
      </c>
      <c r="J9" s="202"/>
      <c r="K9" s="202" t="s">
        <v>36</v>
      </c>
      <c r="L9" s="204"/>
      <c r="M9" s="202" t="s">
        <v>36</v>
      </c>
      <c r="N9" s="202" t="s">
        <v>36</v>
      </c>
      <c r="O9" s="202"/>
      <c r="P9" s="202"/>
      <c r="Q9" s="203"/>
      <c r="R9" s="205"/>
      <c r="S9" s="203"/>
      <c r="T9" s="210"/>
      <c r="U9" s="202" t="s">
        <v>48</v>
      </c>
      <c r="V9" s="202"/>
      <c r="W9" s="202" t="s">
        <v>54</v>
      </c>
      <c r="X9" s="202"/>
      <c r="Y9" s="202" t="s">
        <v>33</v>
      </c>
      <c r="Z9" s="202" t="s">
        <v>55</v>
      </c>
      <c r="AB9" s="201"/>
      <c r="AC9" s="208" t="s">
        <v>63</v>
      </c>
      <c r="AD9" s="209">
        <f>COUNTIF(I$2:I293,"N-")</f>
        <v>60</v>
      </c>
      <c r="AE9" s="209">
        <f>COUNTIF(J$2:J293,"N-")</f>
        <v>49</v>
      </c>
      <c r="AF9" s="209">
        <f>COUNTIF(M$2:M293,"N-")</f>
        <v>47</v>
      </c>
      <c r="AG9" s="209">
        <f>COUNTIF(K$2:K293,"N-")</f>
        <v>61</v>
      </c>
      <c r="AH9" s="209">
        <f>COUNTIF(L$2:L293,"N-")</f>
        <v>61</v>
      </c>
      <c r="AI9" s="209">
        <f>COUNTIF(N$2:N293,"N-")</f>
        <v>0</v>
      </c>
      <c r="AJ9" s="209">
        <f>COUNTIF(O$2:O293,"N-")</f>
        <v>0</v>
      </c>
      <c r="AK9" s="209">
        <f>COUNTIF(P$2:P293,"N-")</f>
        <v>0</v>
      </c>
    </row>
    <row r="10" spans="1:37" ht="21" customHeight="1">
      <c r="A10" s="250" t="s">
        <v>25</v>
      </c>
      <c r="B10" s="202" t="s">
        <v>50</v>
      </c>
      <c r="C10" s="202" t="s">
        <v>27</v>
      </c>
      <c r="D10" s="267">
        <v>9</v>
      </c>
      <c r="E10" s="202">
        <v>9</v>
      </c>
      <c r="F10" s="202" t="s">
        <v>64</v>
      </c>
      <c r="G10" s="203" t="s">
        <v>52</v>
      </c>
      <c r="H10" s="202"/>
      <c r="I10" s="202" t="s">
        <v>36</v>
      </c>
      <c r="J10" s="202"/>
      <c r="K10" s="202" t="s">
        <v>36</v>
      </c>
      <c r="L10" s="204"/>
      <c r="M10" s="202" t="s">
        <v>36</v>
      </c>
      <c r="N10" s="202" t="s">
        <v>36</v>
      </c>
      <c r="O10" s="202"/>
      <c r="P10" s="202"/>
      <c r="Q10" s="203"/>
      <c r="R10" s="205"/>
      <c r="S10" s="203"/>
      <c r="T10" s="210"/>
      <c r="U10" s="202" t="s">
        <v>48</v>
      </c>
      <c r="V10" s="202"/>
      <c r="W10" s="202" t="s">
        <v>54</v>
      </c>
      <c r="X10" s="202"/>
      <c r="Y10" s="202" t="s">
        <v>33</v>
      </c>
      <c r="Z10" s="202" t="s">
        <v>55</v>
      </c>
      <c r="AB10" s="201"/>
      <c r="AC10" s="208" t="s">
        <v>31</v>
      </c>
      <c r="AD10" s="209">
        <f>COUNTIF(I$2:I293,"K-")</f>
        <v>54</v>
      </c>
      <c r="AE10" s="209">
        <f>COUNTIF(J$2:J293,"K-")</f>
        <v>60</v>
      </c>
      <c r="AF10" s="209">
        <f>COUNTIF(M$2:M293,"K-")</f>
        <v>94</v>
      </c>
      <c r="AG10" s="209">
        <f>COUNTIF(K$2:K293,"K-")</f>
        <v>37</v>
      </c>
      <c r="AH10" s="209">
        <f>COUNTIF(L$2:L293,"K-")</f>
        <v>42</v>
      </c>
      <c r="AI10" s="209">
        <f>COUNTIF(N$2:N293,"K-")</f>
        <v>0</v>
      </c>
      <c r="AJ10" s="209">
        <f>COUNTIF(O$2:O293,"K-")</f>
        <v>0</v>
      </c>
      <c r="AK10" s="209">
        <f>COUNTIF(P$2:P293,"K-")</f>
        <v>0</v>
      </c>
    </row>
    <row r="11" spans="1:37" ht="21" customHeight="1">
      <c r="A11" s="250" t="s">
        <v>25</v>
      </c>
      <c r="B11" s="202" t="s">
        <v>50</v>
      </c>
      <c r="C11" s="202" t="s">
        <v>27</v>
      </c>
      <c r="D11" s="267">
        <v>10</v>
      </c>
      <c r="E11" s="202">
        <v>10</v>
      </c>
      <c r="F11" s="202" t="s">
        <v>65</v>
      </c>
      <c r="G11" s="203" t="s">
        <v>52</v>
      </c>
      <c r="H11" s="202"/>
      <c r="I11" s="211" t="s">
        <v>66</v>
      </c>
      <c r="J11" s="209"/>
      <c r="K11" s="209" t="s">
        <v>66</v>
      </c>
      <c r="L11" s="212"/>
      <c r="M11" s="209" t="s">
        <v>66</v>
      </c>
      <c r="N11" s="209" t="s">
        <v>66</v>
      </c>
      <c r="O11" s="211"/>
      <c r="P11" s="211"/>
      <c r="Q11" s="203"/>
      <c r="R11" s="205"/>
      <c r="S11" s="203"/>
      <c r="T11" s="210"/>
      <c r="U11" s="202" t="s">
        <v>48</v>
      </c>
      <c r="V11" s="202"/>
      <c r="W11" s="202" t="s">
        <v>54</v>
      </c>
      <c r="X11" s="202"/>
      <c r="Y11" s="202" t="s">
        <v>33</v>
      </c>
      <c r="Z11" s="202" t="s">
        <v>55</v>
      </c>
      <c r="AB11" s="201"/>
      <c r="AC11" s="208" t="s">
        <v>67</v>
      </c>
      <c r="AD11" s="209">
        <f>COUNTIF(I2:I293,"M-")</f>
        <v>0</v>
      </c>
      <c r="AE11" s="209">
        <f>COUNTIF(J2:J293,"M-")</f>
        <v>0</v>
      </c>
      <c r="AF11" s="209">
        <f>COUNTIF(M2:M293,"M-")</f>
        <v>33</v>
      </c>
      <c r="AG11" s="209">
        <f>COUNTIF(K2:K293,"M-")</f>
        <v>0</v>
      </c>
      <c r="AH11" s="209">
        <f>COUNTIF(L2:L293,"M-")</f>
        <v>0</v>
      </c>
      <c r="AI11" s="209">
        <f>COUNTIF(N2:N293,"M-")</f>
        <v>0</v>
      </c>
      <c r="AJ11" s="209">
        <f>COUNTIF(O2:O293,"M-")</f>
        <v>0</v>
      </c>
      <c r="AK11" s="209">
        <f>COUNTIF(P2:P293,"M-")</f>
        <v>0</v>
      </c>
    </row>
    <row r="12" spans="1:37" ht="21" customHeight="1">
      <c r="A12" s="250" t="s">
        <v>25</v>
      </c>
      <c r="B12" s="202" t="s">
        <v>50</v>
      </c>
      <c r="C12" s="202" t="s">
        <v>27</v>
      </c>
      <c r="D12" s="267">
        <v>11</v>
      </c>
      <c r="E12" s="202">
        <v>11</v>
      </c>
      <c r="F12" s="202" t="s">
        <v>68</v>
      </c>
      <c r="G12" s="203" t="s">
        <v>52</v>
      </c>
      <c r="H12" s="202"/>
      <c r="I12" s="202" t="s">
        <v>69</v>
      </c>
      <c r="J12" s="202"/>
      <c r="K12" s="202" t="s">
        <v>69</v>
      </c>
      <c r="L12" s="204"/>
      <c r="M12" s="202" t="s">
        <v>69</v>
      </c>
      <c r="N12" s="202"/>
      <c r="O12" s="202"/>
      <c r="P12" s="202"/>
      <c r="Q12" s="203"/>
      <c r="R12" s="205"/>
      <c r="S12" s="203"/>
      <c r="T12" s="210"/>
      <c r="U12" s="202" t="s">
        <v>48</v>
      </c>
      <c r="V12" s="202"/>
      <c r="W12" s="202" t="s">
        <v>54</v>
      </c>
      <c r="X12" s="202"/>
      <c r="Y12" s="202" t="s">
        <v>33</v>
      </c>
      <c r="Z12" s="202"/>
      <c r="AB12" s="201"/>
      <c r="AC12" s="208" t="s">
        <v>70</v>
      </c>
      <c r="AD12" s="209">
        <f>SUM(AD4:AD10)</f>
        <v>116</v>
      </c>
      <c r="AE12" s="209">
        <f>SUM(AE4:AE10)</f>
        <v>109</v>
      </c>
      <c r="AF12" s="209">
        <f t="shared" ref="AF12:AK12" si="0">SUM(AF4:AF11)</f>
        <v>176</v>
      </c>
      <c r="AG12" s="209">
        <f t="shared" si="0"/>
        <v>100</v>
      </c>
      <c r="AH12" s="209">
        <f t="shared" si="0"/>
        <v>103</v>
      </c>
      <c r="AI12" s="209">
        <f t="shared" si="0"/>
        <v>23</v>
      </c>
      <c r="AJ12" s="209">
        <f t="shared" si="0"/>
        <v>0</v>
      </c>
      <c r="AK12" s="209">
        <f t="shared" si="0"/>
        <v>67</v>
      </c>
    </row>
    <row r="13" spans="1:37" ht="21" customHeight="1">
      <c r="A13" s="250" t="s">
        <v>25</v>
      </c>
      <c r="B13" s="202" t="s">
        <v>34</v>
      </c>
      <c r="C13" s="202" t="s">
        <v>27</v>
      </c>
      <c r="D13" s="267">
        <v>12</v>
      </c>
      <c r="E13" s="202">
        <v>12</v>
      </c>
      <c r="F13" s="202" t="s">
        <v>71</v>
      </c>
      <c r="G13" s="203"/>
      <c r="H13" s="202" t="s">
        <v>72</v>
      </c>
      <c r="I13" s="202" t="s">
        <v>31</v>
      </c>
      <c r="J13" s="202" t="s">
        <v>31</v>
      </c>
      <c r="K13" s="202" t="s">
        <v>30</v>
      </c>
      <c r="L13" s="204" t="s">
        <v>31</v>
      </c>
      <c r="M13" s="202" t="s">
        <v>31</v>
      </c>
      <c r="N13" s="202"/>
      <c r="O13" s="202"/>
      <c r="P13" s="202"/>
      <c r="Q13" s="203" t="s">
        <v>36</v>
      </c>
      <c r="R13" s="205"/>
      <c r="S13" s="203"/>
      <c r="T13" s="202"/>
      <c r="U13" s="202" t="s">
        <v>48</v>
      </c>
      <c r="V13" s="202" t="s">
        <v>32</v>
      </c>
      <c r="W13" s="202" t="s">
        <v>54</v>
      </c>
      <c r="X13" s="202" t="s">
        <v>49</v>
      </c>
      <c r="Y13" s="202" t="s">
        <v>33</v>
      </c>
      <c r="Z13" s="202"/>
      <c r="AB13" s="201"/>
      <c r="AC13" s="207"/>
      <c r="AE13" s="201"/>
    </row>
    <row r="14" spans="1:37" ht="21" customHeight="1">
      <c r="A14" s="250" t="s">
        <v>25</v>
      </c>
      <c r="B14" s="202" t="s">
        <v>73</v>
      </c>
      <c r="C14" s="202" t="s">
        <v>27</v>
      </c>
      <c r="D14" s="267">
        <v>13</v>
      </c>
      <c r="E14" s="202">
        <v>13</v>
      </c>
      <c r="F14" s="202" t="s">
        <v>74</v>
      </c>
      <c r="G14" s="203"/>
      <c r="H14" s="202"/>
      <c r="I14" s="202"/>
      <c r="J14" s="202"/>
      <c r="K14" s="202"/>
      <c r="L14" s="204"/>
      <c r="M14" s="202" t="s">
        <v>31</v>
      </c>
      <c r="N14" s="202"/>
      <c r="O14" s="202"/>
      <c r="P14" s="202"/>
      <c r="Q14" s="203"/>
      <c r="R14" s="205"/>
      <c r="S14" s="203"/>
      <c r="T14" s="210"/>
      <c r="U14" s="202"/>
      <c r="V14" s="202"/>
      <c r="W14" s="202"/>
      <c r="X14" s="202"/>
      <c r="Y14" s="202" t="s">
        <v>33</v>
      </c>
      <c r="Z14" s="202"/>
      <c r="AB14" s="201"/>
      <c r="AC14" s="207"/>
      <c r="AE14" s="201"/>
    </row>
    <row r="15" spans="1:37" ht="21" customHeight="1">
      <c r="A15" s="250" t="s">
        <v>25</v>
      </c>
      <c r="B15" s="202" t="s">
        <v>75</v>
      </c>
      <c r="C15" s="202" t="s">
        <v>27</v>
      </c>
      <c r="D15" s="267">
        <v>14</v>
      </c>
      <c r="E15" s="202">
        <v>14</v>
      </c>
      <c r="F15" s="202" t="s">
        <v>76</v>
      </c>
      <c r="G15" s="203"/>
      <c r="H15" s="202"/>
      <c r="I15" s="202"/>
      <c r="J15" s="202"/>
      <c r="K15" s="202" t="s">
        <v>30</v>
      </c>
      <c r="L15" s="204"/>
      <c r="M15" s="202"/>
      <c r="N15" s="202"/>
      <c r="O15" s="202"/>
      <c r="P15" s="202"/>
      <c r="Q15" s="203"/>
      <c r="R15" s="205" t="s">
        <v>77</v>
      </c>
      <c r="S15" s="203"/>
      <c r="T15" s="210" t="s">
        <v>78</v>
      </c>
      <c r="U15" s="202"/>
      <c r="V15" s="202"/>
      <c r="W15" s="202" t="s">
        <v>54</v>
      </c>
      <c r="X15" s="202"/>
      <c r="Y15" s="202"/>
      <c r="Z15" s="202"/>
      <c r="AB15" s="201"/>
      <c r="AC15" s="207"/>
      <c r="AE15" s="201"/>
    </row>
    <row r="16" spans="1:37" ht="21" customHeight="1">
      <c r="A16" s="250" t="s">
        <v>25</v>
      </c>
      <c r="B16" s="202" t="s">
        <v>79</v>
      </c>
      <c r="C16" s="202" t="s">
        <v>27</v>
      </c>
      <c r="D16" s="267">
        <v>15</v>
      </c>
      <c r="E16" s="202">
        <v>15</v>
      </c>
      <c r="F16" s="202" t="s">
        <v>80</v>
      </c>
      <c r="G16" s="203"/>
      <c r="H16" s="202" t="s">
        <v>81</v>
      </c>
      <c r="I16" s="202"/>
      <c r="J16" s="202" t="s">
        <v>31</v>
      </c>
      <c r="K16" s="202"/>
      <c r="L16" s="204"/>
      <c r="M16" s="202" t="s">
        <v>31</v>
      </c>
      <c r="N16" s="202"/>
      <c r="O16" s="202"/>
      <c r="P16" s="202"/>
      <c r="Q16" s="203"/>
      <c r="R16" s="205"/>
      <c r="S16" s="203"/>
      <c r="T16" s="202"/>
      <c r="U16" s="202"/>
      <c r="V16" s="202" t="s">
        <v>32</v>
      </c>
      <c r="W16" s="202"/>
      <c r="X16" s="202"/>
      <c r="Y16" s="202" t="s">
        <v>33</v>
      </c>
      <c r="Z16" s="202"/>
      <c r="AB16" s="201"/>
      <c r="AC16" s="207"/>
      <c r="AE16" s="201"/>
    </row>
    <row r="17" spans="1:37" ht="21" customHeight="1">
      <c r="A17" s="250" t="s">
        <v>25</v>
      </c>
      <c r="B17" s="202" t="s">
        <v>79</v>
      </c>
      <c r="C17" s="202" t="s">
        <v>27</v>
      </c>
      <c r="D17" s="267">
        <v>16</v>
      </c>
      <c r="E17" s="202">
        <v>16</v>
      </c>
      <c r="F17" s="202" t="s">
        <v>82</v>
      </c>
      <c r="G17" s="203"/>
      <c r="H17" s="202"/>
      <c r="I17" s="202" t="s">
        <v>30</v>
      </c>
      <c r="J17" s="202"/>
      <c r="K17" s="202" t="s">
        <v>31</v>
      </c>
      <c r="L17" s="204"/>
      <c r="M17" s="202" t="s">
        <v>31</v>
      </c>
      <c r="N17" s="202"/>
      <c r="O17" s="202"/>
      <c r="P17" s="202"/>
      <c r="Q17" s="203"/>
      <c r="R17" s="205"/>
      <c r="S17" s="203"/>
      <c r="T17" s="202"/>
      <c r="U17" s="202" t="s">
        <v>48</v>
      </c>
      <c r="V17" s="202"/>
      <c r="W17" s="202" t="s">
        <v>54</v>
      </c>
      <c r="X17" s="202"/>
      <c r="Y17" s="202" t="s">
        <v>33</v>
      </c>
      <c r="Z17" s="202"/>
      <c r="AB17" s="201"/>
      <c r="AC17" s="207"/>
      <c r="AE17" s="201"/>
    </row>
    <row r="18" spans="1:37" ht="21" customHeight="1">
      <c r="A18" s="250" t="s">
        <v>25</v>
      </c>
      <c r="B18" s="202" t="s">
        <v>75</v>
      </c>
      <c r="C18" s="202" t="s">
        <v>27</v>
      </c>
      <c r="D18" s="267">
        <v>17</v>
      </c>
      <c r="E18" s="202">
        <v>17</v>
      </c>
      <c r="F18" s="202" t="s">
        <v>83</v>
      </c>
      <c r="G18" s="203"/>
      <c r="H18" s="202"/>
      <c r="I18" s="202"/>
      <c r="J18" s="202" t="s">
        <v>31</v>
      </c>
      <c r="K18" s="202"/>
      <c r="L18" s="204"/>
      <c r="M18" s="202" t="s">
        <v>31</v>
      </c>
      <c r="N18" s="202"/>
      <c r="O18" s="202"/>
      <c r="P18" s="202" t="s">
        <v>14</v>
      </c>
      <c r="Q18" s="203"/>
      <c r="R18" s="213" t="s">
        <v>84</v>
      </c>
      <c r="S18" s="214"/>
      <c r="T18" s="202"/>
      <c r="U18" s="202"/>
      <c r="V18" s="202" t="s">
        <v>32</v>
      </c>
      <c r="W18" s="202"/>
      <c r="X18" s="202"/>
      <c r="Y18" s="202" t="s">
        <v>33</v>
      </c>
      <c r="Z18" s="202"/>
      <c r="AB18" s="201"/>
      <c r="AC18" s="207"/>
      <c r="AE18" s="201"/>
    </row>
    <row r="19" spans="1:37" ht="21" customHeight="1">
      <c r="A19" s="250" t="s">
        <v>25</v>
      </c>
      <c r="B19" s="202" t="s">
        <v>50</v>
      </c>
      <c r="C19" s="202" t="s">
        <v>27</v>
      </c>
      <c r="D19" s="267">
        <v>18</v>
      </c>
      <c r="E19" s="202">
        <v>18</v>
      </c>
      <c r="F19" s="202" t="s">
        <v>85</v>
      </c>
      <c r="G19" s="203"/>
      <c r="H19" s="202"/>
      <c r="I19" s="202"/>
      <c r="J19" s="202" t="s">
        <v>31</v>
      </c>
      <c r="K19" s="202"/>
      <c r="L19" s="204"/>
      <c r="M19" s="202" t="s">
        <v>31</v>
      </c>
      <c r="N19" s="202"/>
      <c r="O19" s="202"/>
      <c r="P19" s="202"/>
      <c r="Q19" s="203"/>
      <c r="R19" s="205"/>
      <c r="S19" s="203"/>
      <c r="T19" s="210"/>
      <c r="U19" s="202"/>
      <c r="V19" s="202" t="s">
        <v>32</v>
      </c>
      <c r="W19" s="202"/>
      <c r="X19" s="202"/>
      <c r="Y19" s="202" t="s">
        <v>33</v>
      </c>
      <c r="Z19" s="202"/>
      <c r="AB19" s="201"/>
      <c r="AC19" s="207"/>
      <c r="AE19" s="201"/>
    </row>
    <row r="20" spans="1:37" ht="21" customHeight="1">
      <c r="A20" s="243" t="s">
        <v>86</v>
      </c>
      <c r="B20" s="202" t="s">
        <v>73</v>
      </c>
      <c r="C20" s="202" t="s">
        <v>27</v>
      </c>
      <c r="D20" s="268">
        <v>19</v>
      </c>
      <c r="E20" s="202">
        <v>19</v>
      </c>
      <c r="F20" s="202" t="s">
        <v>87</v>
      </c>
      <c r="G20" s="203"/>
      <c r="H20" s="202"/>
      <c r="I20" s="202"/>
      <c r="J20" s="202"/>
      <c r="K20" s="202"/>
      <c r="L20" s="204" t="s">
        <v>30</v>
      </c>
      <c r="M20" s="202"/>
      <c r="N20" s="202"/>
      <c r="O20" s="202"/>
      <c r="P20" s="202"/>
      <c r="Q20" s="203"/>
      <c r="R20" s="205"/>
      <c r="S20" s="203"/>
      <c r="T20" s="210"/>
      <c r="U20" s="202"/>
      <c r="V20" s="202"/>
      <c r="W20" s="202"/>
      <c r="X20" s="202" t="s">
        <v>49</v>
      </c>
      <c r="Y20" s="202"/>
      <c r="Z20" s="202"/>
      <c r="AB20" s="201"/>
      <c r="AC20" s="207"/>
      <c r="AE20" s="201"/>
    </row>
    <row r="21" spans="1:37" ht="21" customHeight="1">
      <c r="A21" s="243" t="s">
        <v>86</v>
      </c>
      <c r="B21" s="202" t="s">
        <v>73</v>
      </c>
      <c r="C21" s="202" t="s">
        <v>27</v>
      </c>
      <c r="D21" s="268">
        <v>20</v>
      </c>
      <c r="E21" s="202">
        <v>20</v>
      </c>
      <c r="F21" s="202" t="s">
        <v>88</v>
      </c>
      <c r="G21" s="203"/>
      <c r="H21" s="202"/>
      <c r="I21" s="202"/>
      <c r="J21" s="202"/>
      <c r="K21" s="202"/>
      <c r="L21" s="204"/>
      <c r="M21" s="202" t="s">
        <v>31</v>
      </c>
      <c r="N21" s="202"/>
      <c r="O21" s="202"/>
      <c r="P21" s="202"/>
      <c r="Q21" s="203"/>
      <c r="R21" s="205"/>
      <c r="S21" s="203"/>
      <c r="T21" s="202"/>
      <c r="U21" s="202"/>
      <c r="V21" s="202"/>
      <c r="W21" s="202"/>
      <c r="X21" s="202"/>
      <c r="Y21" s="202" t="s">
        <v>33</v>
      </c>
      <c r="Z21" s="202"/>
      <c r="AB21" s="201"/>
      <c r="AC21" s="207"/>
      <c r="AE21" s="201"/>
    </row>
    <row r="22" spans="1:37" ht="21" customHeight="1">
      <c r="A22" s="243" t="s">
        <v>86</v>
      </c>
      <c r="B22" s="202" t="s">
        <v>73</v>
      </c>
      <c r="C22" s="202" t="s">
        <v>27</v>
      </c>
      <c r="D22" s="268">
        <v>21</v>
      </c>
      <c r="E22" s="202">
        <v>21</v>
      </c>
      <c r="F22" s="202" t="s">
        <v>89</v>
      </c>
      <c r="G22" s="203"/>
      <c r="H22" s="202" t="s">
        <v>90</v>
      </c>
      <c r="I22" s="202"/>
      <c r="J22" s="202" t="s">
        <v>31</v>
      </c>
      <c r="K22" s="202"/>
      <c r="L22" s="204"/>
      <c r="M22" s="202" t="s">
        <v>31</v>
      </c>
      <c r="N22" s="202"/>
      <c r="O22" s="202"/>
      <c r="P22" s="202" t="s">
        <v>14</v>
      </c>
      <c r="Q22" s="203"/>
      <c r="R22" s="205"/>
      <c r="S22" s="203"/>
      <c r="T22" s="202"/>
      <c r="U22" s="202"/>
      <c r="V22" s="202" t="s">
        <v>32</v>
      </c>
      <c r="W22" s="202"/>
      <c r="X22" s="202"/>
      <c r="Y22" s="202" t="s">
        <v>33</v>
      </c>
      <c r="Z22" s="202"/>
      <c r="AB22" s="201"/>
      <c r="AC22" s="207"/>
      <c r="AE22" s="201"/>
    </row>
    <row r="23" spans="1:37" ht="21" customHeight="1">
      <c r="A23" s="243" t="s">
        <v>86</v>
      </c>
      <c r="B23" s="202" t="s">
        <v>73</v>
      </c>
      <c r="C23" s="202" t="s">
        <v>27</v>
      </c>
      <c r="D23" s="268">
        <v>22</v>
      </c>
      <c r="E23" s="202">
        <v>22</v>
      </c>
      <c r="F23" s="202" t="s">
        <v>91</v>
      </c>
      <c r="G23" s="203"/>
      <c r="H23" s="202" t="s">
        <v>92</v>
      </c>
      <c r="I23" s="202"/>
      <c r="J23" s="202"/>
      <c r="K23" s="202"/>
      <c r="L23" s="204"/>
      <c r="M23" s="202" t="s">
        <v>31</v>
      </c>
      <c r="N23" s="202"/>
      <c r="O23" s="202"/>
      <c r="P23" s="202"/>
      <c r="Q23" s="203" t="s">
        <v>36</v>
      </c>
      <c r="R23" s="205"/>
      <c r="S23" s="203"/>
      <c r="T23" s="202"/>
      <c r="U23" s="202"/>
      <c r="V23" s="202"/>
      <c r="W23" s="202"/>
      <c r="X23" s="202"/>
      <c r="Y23" s="202" t="s">
        <v>33</v>
      </c>
      <c r="Z23" s="202"/>
      <c r="AB23" s="201"/>
      <c r="AC23" s="207"/>
      <c r="AE23" s="201"/>
    </row>
    <row r="24" spans="1:37" ht="21" customHeight="1">
      <c r="A24" s="243" t="s">
        <v>86</v>
      </c>
      <c r="B24" s="202" t="s">
        <v>73</v>
      </c>
      <c r="C24" s="202" t="s">
        <v>27</v>
      </c>
      <c r="D24" s="268">
        <v>23</v>
      </c>
      <c r="E24" s="202">
        <v>23</v>
      </c>
      <c r="F24" s="202" t="s">
        <v>93</v>
      </c>
      <c r="G24" s="203"/>
      <c r="H24" s="202" t="s">
        <v>94</v>
      </c>
      <c r="I24" s="202"/>
      <c r="J24" s="202"/>
      <c r="K24" s="202"/>
      <c r="L24" s="204"/>
      <c r="M24" s="202" t="s">
        <v>31</v>
      </c>
      <c r="N24" s="202"/>
      <c r="O24" s="202"/>
      <c r="P24" s="202"/>
      <c r="Q24" s="203"/>
      <c r="R24" s="205"/>
      <c r="S24" s="203"/>
      <c r="T24" s="202"/>
      <c r="U24" s="202"/>
      <c r="V24" s="202"/>
      <c r="W24" s="202"/>
      <c r="X24" s="202"/>
      <c r="Y24" s="202" t="s">
        <v>33</v>
      </c>
      <c r="Z24" s="202"/>
      <c r="AB24" s="201"/>
      <c r="AC24" s="208"/>
      <c r="AD24" s="209"/>
      <c r="AE24" s="209"/>
      <c r="AF24" s="209"/>
      <c r="AG24" s="209"/>
      <c r="AH24" s="209"/>
      <c r="AI24" s="209"/>
      <c r="AJ24" s="209"/>
      <c r="AK24" s="209"/>
    </row>
    <row r="25" spans="1:37" ht="21" customHeight="1">
      <c r="A25" s="243" t="s">
        <v>86</v>
      </c>
      <c r="B25" s="202" t="s">
        <v>95</v>
      </c>
      <c r="C25" s="202" t="s">
        <v>27</v>
      </c>
      <c r="D25" s="268">
        <v>24</v>
      </c>
      <c r="E25" s="202">
        <v>24</v>
      </c>
      <c r="F25" s="202" t="s">
        <v>96</v>
      </c>
      <c r="G25" s="203"/>
      <c r="H25" s="202" t="s">
        <v>97</v>
      </c>
      <c r="I25" s="202"/>
      <c r="J25" s="202" t="s">
        <v>31</v>
      </c>
      <c r="K25" s="202"/>
      <c r="L25" s="204"/>
      <c r="M25" s="202" t="s">
        <v>31</v>
      </c>
      <c r="N25" s="202"/>
      <c r="O25" s="202"/>
      <c r="P25" s="202"/>
      <c r="Q25" s="203" t="s">
        <v>36</v>
      </c>
      <c r="R25" s="205"/>
      <c r="S25" s="203"/>
      <c r="T25" s="202"/>
      <c r="U25" s="202"/>
      <c r="V25" s="202" t="s">
        <v>32</v>
      </c>
      <c r="W25" s="202"/>
      <c r="X25" s="202"/>
      <c r="Y25" s="202" t="s">
        <v>33</v>
      </c>
      <c r="Z25" s="202"/>
      <c r="AB25" s="201"/>
      <c r="AC25" s="208"/>
      <c r="AD25" s="209"/>
      <c r="AE25" s="209"/>
      <c r="AF25" s="209"/>
      <c r="AG25" s="209"/>
      <c r="AH25" s="209"/>
      <c r="AI25" s="209"/>
      <c r="AJ25" s="209"/>
      <c r="AK25" s="209"/>
    </row>
    <row r="26" spans="1:37" ht="21" customHeight="1">
      <c r="A26" s="243" t="s">
        <v>86</v>
      </c>
      <c r="B26" s="202" t="s">
        <v>98</v>
      </c>
      <c r="C26" s="202" t="s">
        <v>27</v>
      </c>
      <c r="D26" s="268">
        <v>25</v>
      </c>
      <c r="E26" s="202">
        <v>25</v>
      </c>
      <c r="F26" s="202" t="s">
        <v>99</v>
      </c>
      <c r="G26" s="203"/>
      <c r="H26" s="202" t="s">
        <v>100</v>
      </c>
      <c r="I26" s="202" t="s">
        <v>30</v>
      </c>
      <c r="J26" s="202"/>
      <c r="K26" s="202" t="s">
        <v>31</v>
      </c>
      <c r="L26" s="204"/>
      <c r="M26" s="202" t="s">
        <v>31</v>
      </c>
      <c r="N26" s="202"/>
      <c r="O26" s="202"/>
      <c r="P26" s="202"/>
      <c r="Q26" s="203"/>
      <c r="R26" s="205"/>
      <c r="S26" s="203"/>
      <c r="T26" s="202"/>
      <c r="U26" s="202" t="s">
        <v>48</v>
      </c>
      <c r="V26" s="202"/>
      <c r="W26" s="202" t="s">
        <v>54</v>
      </c>
      <c r="X26" s="202"/>
      <c r="Y26" s="202" t="s">
        <v>33</v>
      </c>
      <c r="Z26" s="202"/>
      <c r="AB26" s="201"/>
      <c r="AC26" s="208"/>
      <c r="AD26" s="209"/>
      <c r="AE26" s="209"/>
      <c r="AF26" s="209"/>
      <c r="AG26" s="209"/>
      <c r="AH26" s="209"/>
      <c r="AI26" s="209"/>
      <c r="AJ26" s="209"/>
      <c r="AK26" s="209"/>
    </row>
    <row r="27" spans="1:37" ht="21" customHeight="1">
      <c r="A27" s="243" t="s">
        <v>86</v>
      </c>
      <c r="B27" s="202" t="s">
        <v>79</v>
      </c>
      <c r="C27" s="202" t="s">
        <v>27</v>
      </c>
      <c r="D27" s="268">
        <v>26</v>
      </c>
      <c r="E27" s="202">
        <v>26</v>
      </c>
      <c r="F27" s="202" t="s">
        <v>101</v>
      </c>
      <c r="G27" s="203"/>
      <c r="H27" s="202"/>
      <c r="I27" s="202"/>
      <c r="J27" s="202"/>
      <c r="K27" s="202"/>
      <c r="L27" s="204"/>
      <c r="M27" s="202" t="s">
        <v>31</v>
      </c>
      <c r="N27" s="202"/>
      <c r="O27" s="202"/>
      <c r="P27" s="202"/>
      <c r="Q27" s="203"/>
      <c r="R27" s="205"/>
      <c r="S27" s="203"/>
      <c r="T27" s="202"/>
      <c r="U27" s="202"/>
      <c r="V27" s="202"/>
      <c r="W27" s="202"/>
      <c r="X27" s="202"/>
      <c r="Y27" s="202" t="s">
        <v>33</v>
      </c>
      <c r="Z27" s="202"/>
      <c r="AB27" s="201"/>
      <c r="AC27" s="208"/>
      <c r="AD27" s="209"/>
      <c r="AE27" s="209"/>
      <c r="AF27" s="209"/>
      <c r="AG27" s="209"/>
      <c r="AH27" s="209"/>
      <c r="AI27" s="209"/>
      <c r="AJ27" s="209"/>
      <c r="AK27" s="209"/>
    </row>
    <row r="28" spans="1:37" ht="21" customHeight="1">
      <c r="A28" s="243" t="s">
        <v>86</v>
      </c>
      <c r="B28" s="202" t="s">
        <v>102</v>
      </c>
      <c r="C28" s="202" t="s">
        <v>27</v>
      </c>
      <c r="D28" s="268">
        <v>27</v>
      </c>
      <c r="E28" s="202">
        <v>27</v>
      </c>
      <c r="F28" s="202" t="s">
        <v>103</v>
      </c>
      <c r="G28" s="203" t="s">
        <v>104</v>
      </c>
      <c r="H28" s="202"/>
      <c r="I28" s="202" t="s">
        <v>30</v>
      </c>
      <c r="J28" s="202" t="s">
        <v>31</v>
      </c>
      <c r="K28" s="202" t="s">
        <v>31</v>
      </c>
      <c r="L28" s="204" t="s">
        <v>30</v>
      </c>
      <c r="M28" s="202" t="s">
        <v>31</v>
      </c>
      <c r="N28" s="202" t="s">
        <v>53</v>
      </c>
      <c r="O28" s="202"/>
      <c r="P28" s="202"/>
      <c r="Q28" s="203"/>
      <c r="R28" s="205" t="s">
        <v>105</v>
      </c>
      <c r="S28" s="203"/>
      <c r="T28" s="202"/>
      <c r="U28" s="202" t="s">
        <v>48</v>
      </c>
      <c r="V28" s="202" t="s">
        <v>32</v>
      </c>
      <c r="W28" s="202" t="s">
        <v>54</v>
      </c>
      <c r="X28" s="202" t="s">
        <v>49</v>
      </c>
      <c r="Y28" s="202" t="s">
        <v>33</v>
      </c>
      <c r="Z28" s="202" t="s">
        <v>55</v>
      </c>
      <c r="AB28" s="201"/>
      <c r="AC28" s="208"/>
      <c r="AD28" s="209"/>
      <c r="AE28" s="209"/>
      <c r="AF28" s="209"/>
      <c r="AG28" s="209"/>
      <c r="AH28" s="209"/>
      <c r="AI28" s="209"/>
      <c r="AJ28" s="209"/>
      <c r="AK28" s="209"/>
    </row>
    <row r="29" spans="1:37" ht="21" customHeight="1">
      <c r="A29" s="247" t="s">
        <v>106</v>
      </c>
      <c r="B29" s="202" t="s">
        <v>79</v>
      </c>
      <c r="C29" s="202" t="s">
        <v>27</v>
      </c>
      <c r="D29" s="269">
        <v>28</v>
      </c>
      <c r="E29" s="202">
        <v>28</v>
      </c>
      <c r="F29" s="202" t="s">
        <v>107</v>
      </c>
      <c r="G29" s="203"/>
      <c r="H29" s="202"/>
      <c r="I29" s="202"/>
      <c r="J29" s="202"/>
      <c r="K29" s="202"/>
      <c r="L29" s="204"/>
      <c r="M29" s="202" t="s">
        <v>31</v>
      </c>
      <c r="N29" s="202"/>
      <c r="O29" s="202"/>
      <c r="P29" s="202"/>
      <c r="Q29" s="203"/>
      <c r="R29" s="205"/>
      <c r="S29" s="203"/>
      <c r="T29" s="202"/>
      <c r="U29" s="202"/>
      <c r="V29" s="202"/>
      <c r="W29" s="202"/>
      <c r="X29" s="202"/>
      <c r="Y29" s="202" t="s">
        <v>33</v>
      </c>
      <c r="Z29" s="202"/>
      <c r="AB29" s="201"/>
      <c r="AC29" s="208"/>
      <c r="AD29" s="209"/>
      <c r="AE29" s="209"/>
      <c r="AF29" s="209"/>
      <c r="AG29" s="209"/>
      <c r="AH29" s="209"/>
      <c r="AI29" s="209"/>
      <c r="AJ29" s="209"/>
      <c r="AK29" s="209"/>
    </row>
    <row r="30" spans="1:37" ht="21" customHeight="1">
      <c r="A30" s="247" t="s">
        <v>106</v>
      </c>
      <c r="B30" s="202" t="s">
        <v>75</v>
      </c>
      <c r="C30" s="202" t="s">
        <v>27</v>
      </c>
      <c r="D30" s="269">
        <v>29</v>
      </c>
      <c r="E30" s="202">
        <v>29</v>
      </c>
      <c r="F30" s="202" t="s">
        <v>108</v>
      </c>
      <c r="G30" s="203"/>
      <c r="H30" s="202" t="s">
        <v>109</v>
      </c>
      <c r="I30" s="202"/>
      <c r="J30" s="202" t="s">
        <v>31</v>
      </c>
      <c r="K30" s="202"/>
      <c r="L30" s="204"/>
      <c r="M30" s="202"/>
      <c r="N30" s="202"/>
      <c r="O30" s="202"/>
      <c r="P30" s="202"/>
      <c r="Q30" s="203"/>
      <c r="R30" s="205"/>
      <c r="S30" s="203"/>
      <c r="T30" s="210"/>
      <c r="U30" s="202"/>
      <c r="V30" s="202" t="s">
        <v>32</v>
      </c>
      <c r="W30" s="202"/>
      <c r="X30" s="202"/>
      <c r="Y30" s="202"/>
      <c r="Z30" s="202"/>
      <c r="AB30" s="201"/>
      <c r="AC30" s="208"/>
      <c r="AD30" s="209"/>
      <c r="AE30" s="209"/>
      <c r="AF30" s="209"/>
      <c r="AG30" s="209"/>
      <c r="AH30" s="209"/>
      <c r="AI30" s="209"/>
      <c r="AJ30" s="209"/>
      <c r="AK30" s="209"/>
    </row>
    <row r="31" spans="1:37" ht="21" customHeight="1">
      <c r="A31" s="247" t="s">
        <v>106</v>
      </c>
      <c r="B31" s="202" t="s">
        <v>75</v>
      </c>
      <c r="C31" s="202" t="s">
        <v>27</v>
      </c>
      <c r="D31" s="269">
        <v>30</v>
      </c>
      <c r="E31" s="202">
        <v>30</v>
      </c>
      <c r="F31" s="202" t="s">
        <v>110</v>
      </c>
      <c r="G31" s="203"/>
      <c r="H31" s="202"/>
      <c r="I31" s="202"/>
      <c r="J31" s="202" t="s">
        <v>31</v>
      </c>
      <c r="K31" s="202" t="s">
        <v>30</v>
      </c>
      <c r="L31" s="204"/>
      <c r="M31" s="202"/>
      <c r="N31" s="202"/>
      <c r="O31" s="202"/>
      <c r="P31" s="202"/>
      <c r="Q31" s="203"/>
      <c r="R31" s="205"/>
      <c r="S31" s="203"/>
      <c r="T31" s="202" t="s">
        <v>111</v>
      </c>
      <c r="U31" s="202"/>
      <c r="V31" s="202" t="s">
        <v>32</v>
      </c>
      <c r="W31" s="202" t="s">
        <v>54</v>
      </c>
      <c r="X31" s="202"/>
      <c r="Y31" s="202"/>
      <c r="Z31" s="202"/>
      <c r="AB31" s="201"/>
      <c r="AC31" s="208"/>
      <c r="AD31" s="209"/>
      <c r="AE31" s="209"/>
      <c r="AF31" s="209"/>
      <c r="AG31" s="209"/>
      <c r="AH31" s="209"/>
      <c r="AI31" s="209"/>
      <c r="AJ31" s="209"/>
      <c r="AK31" s="209"/>
    </row>
    <row r="32" spans="1:37" ht="21" customHeight="1">
      <c r="A32" s="247" t="s">
        <v>106</v>
      </c>
      <c r="B32" s="202" t="s">
        <v>75</v>
      </c>
      <c r="C32" s="202" t="s">
        <v>27</v>
      </c>
      <c r="D32" s="269">
        <v>31</v>
      </c>
      <c r="E32" s="202">
        <v>31</v>
      </c>
      <c r="F32" s="202" t="s">
        <v>112</v>
      </c>
      <c r="G32" s="203"/>
      <c r="H32" s="202"/>
      <c r="I32" s="202" t="s">
        <v>30</v>
      </c>
      <c r="J32" s="202"/>
      <c r="K32" s="202"/>
      <c r="L32" s="204" t="s">
        <v>30</v>
      </c>
      <c r="M32" s="202"/>
      <c r="N32" s="202"/>
      <c r="O32" s="202"/>
      <c r="P32" s="202"/>
      <c r="Q32" s="203"/>
      <c r="R32" s="205" t="s">
        <v>113</v>
      </c>
      <c r="S32" s="203"/>
      <c r="T32" s="210" t="s">
        <v>114</v>
      </c>
      <c r="U32" s="202" t="s">
        <v>48</v>
      </c>
      <c r="V32" s="202"/>
      <c r="W32" s="202"/>
      <c r="X32" s="202" t="s">
        <v>49</v>
      </c>
      <c r="Y32" s="202"/>
      <c r="Z32" s="202"/>
      <c r="AB32" s="201"/>
      <c r="AC32" s="207"/>
      <c r="AE32" s="201"/>
    </row>
    <row r="33" spans="1:37" ht="21" customHeight="1">
      <c r="A33" s="246" t="s">
        <v>115</v>
      </c>
      <c r="B33" s="202" t="s">
        <v>26</v>
      </c>
      <c r="C33" s="202" t="s">
        <v>27</v>
      </c>
      <c r="D33" s="270">
        <v>32</v>
      </c>
      <c r="E33" s="202">
        <v>32</v>
      </c>
      <c r="F33" s="202" t="s">
        <v>116</v>
      </c>
      <c r="G33" s="203" t="s">
        <v>104</v>
      </c>
      <c r="H33" s="202"/>
      <c r="I33" s="202" t="s">
        <v>31</v>
      </c>
      <c r="J33" s="202" t="s">
        <v>31</v>
      </c>
      <c r="K33" s="202" t="s">
        <v>30</v>
      </c>
      <c r="L33" s="204" t="s">
        <v>30</v>
      </c>
      <c r="M33" s="202" t="s">
        <v>31</v>
      </c>
      <c r="N33" s="202"/>
      <c r="O33" s="202"/>
      <c r="P33" s="202" t="s">
        <v>14</v>
      </c>
      <c r="Q33" s="203"/>
      <c r="R33" s="205"/>
      <c r="S33" s="203"/>
      <c r="T33" s="202"/>
      <c r="U33" s="202" t="s">
        <v>48</v>
      </c>
      <c r="V33" s="202" t="s">
        <v>32</v>
      </c>
      <c r="W33" s="202" t="s">
        <v>54</v>
      </c>
      <c r="X33" s="202" t="s">
        <v>49</v>
      </c>
      <c r="Y33" s="202" t="s">
        <v>33</v>
      </c>
      <c r="Z33" s="202"/>
      <c r="AB33" s="201"/>
      <c r="AC33" s="208"/>
      <c r="AD33" s="209"/>
      <c r="AE33" s="209"/>
      <c r="AF33" s="209"/>
      <c r="AG33" s="209"/>
      <c r="AH33" s="209"/>
      <c r="AI33" s="209"/>
      <c r="AJ33" s="209"/>
      <c r="AK33" s="209"/>
    </row>
    <row r="34" spans="1:37" ht="21" customHeight="1">
      <c r="A34" s="246" t="s">
        <v>115</v>
      </c>
      <c r="B34" s="202" t="s">
        <v>73</v>
      </c>
      <c r="C34" s="202" t="s">
        <v>27</v>
      </c>
      <c r="D34" s="270">
        <v>33</v>
      </c>
      <c r="E34" s="202">
        <v>33</v>
      </c>
      <c r="F34" s="202" t="s">
        <v>117</v>
      </c>
      <c r="G34" s="203"/>
      <c r="H34" s="202"/>
      <c r="I34" s="202"/>
      <c r="J34" s="202"/>
      <c r="K34" s="202"/>
      <c r="L34" s="204"/>
      <c r="M34" s="202" t="s">
        <v>31</v>
      </c>
      <c r="N34" s="202"/>
      <c r="O34" s="202"/>
      <c r="P34" s="202"/>
      <c r="Q34" s="203"/>
      <c r="R34" s="205"/>
      <c r="S34" s="203"/>
      <c r="T34" s="202"/>
      <c r="U34" s="202"/>
      <c r="V34" s="202" t="s">
        <v>32</v>
      </c>
      <c r="W34" s="202"/>
      <c r="X34" s="202"/>
      <c r="Y34" s="202" t="s">
        <v>33</v>
      </c>
      <c r="Z34" s="202"/>
      <c r="AB34" s="201"/>
      <c r="AC34" s="207"/>
      <c r="AE34" s="201"/>
    </row>
    <row r="35" spans="1:37" ht="21" customHeight="1">
      <c r="A35" s="246" t="s">
        <v>115</v>
      </c>
      <c r="B35" s="202" t="s">
        <v>95</v>
      </c>
      <c r="C35" s="202" t="s">
        <v>27</v>
      </c>
      <c r="D35" s="270">
        <v>34</v>
      </c>
      <c r="E35" s="202">
        <v>34</v>
      </c>
      <c r="F35" s="202" t="s">
        <v>118</v>
      </c>
      <c r="G35" s="203"/>
      <c r="H35" s="202" t="s">
        <v>119</v>
      </c>
      <c r="I35" s="202"/>
      <c r="J35" s="202"/>
      <c r="K35" s="202" t="s">
        <v>30</v>
      </c>
      <c r="L35" s="204"/>
      <c r="M35" s="202" t="s">
        <v>31</v>
      </c>
      <c r="N35" s="202"/>
      <c r="O35" s="202"/>
      <c r="P35" s="202"/>
      <c r="Q35" s="203"/>
      <c r="R35" s="205"/>
      <c r="S35" s="203"/>
      <c r="T35" s="202"/>
      <c r="U35" s="202"/>
      <c r="V35" s="202"/>
      <c r="W35" s="202" t="s">
        <v>54</v>
      </c>
      <c r="X35" s="202"/>
      <c r="Y35" s="202" t="s">
        <v>33</v>
      </c>
      <c r="Z35" s="202"/>
      <c r="AB35" s="201"/>
      <c r="AC35" s="207"/>
      <c r="AE35" s="201"/>
    </row>
    <row r="36" spans="1:37" ht="21" customHeight="1">
      <c r="A36" s="246" t="s">
        <v>115</v>
      </c>
      <c r="B36" s="202" t="s">
        <v>50</v>
      </c>
      <c r="C36" s="202" t="s">
        <v>27</v>
      </c>
      <c r="D36" s="270">
        <v>35</v>
      </c>
      <c r="E36" s="202">
        <v>35</v>
      </c>
      <c r="F36" s="202" t="s">
        <v>120</v>
      </c>
      <c r="G36" s="203" t="s">
        <v>52</v>
      </c>
      <c r="H36" s="202" t="s">
        <v>121</v>
      </c>
      <c r="I36" s="202" t="s">
        <v>31</v>
      </c>
      <c r="J36" s="202" t="s">
        <v>31</v>
      </c>
      <c r="K36" s="202" t="s">
        <v>30</v>
      </c>
      <c r="L36" s="204" t="s">
        <v>30</v>
      </c>
      <c r="M36" s="202" t="s">
        <v>31</v>
      </c>
      <c r="N36" s="202" t="s">
        <v>53</v>
      </c>
      <c r="O36" s="202"/>
      <c r="P36" s="202"/>
      <c r="Q36" s="203" t="s">
        <v>36</v>
      </c>
      <c r="R36" s="205"/>
      <c r="S36" s="203"/>
      <c r="T36" s="202"/>
      <c r="U36" s="202" t="s">
        <v>48</v>
      </c>
      <c r="V36" s="202" t="s">
        <v>32</v>
      </c>
      <c r="W36" s="202" t="s">
        <v>54</v>
      </c>
      <c r="X36" s="202" t="s">
        <v>49</v>
      </c>
      <c r="Y36" s="202" t="s">
        <v>33</v>
      </c>
      <c r="Z36" s="202" t="s">
        <v>55</v>
      </c>
      <c r="AB36" s="201"/>
      <c r="AC36" s="207"/>
      <c r="AE36" s="201"/>
    </row>
    <row r="37" spans="1:37" ht="21" customHeight="1">
      <c r="A37" s="246" t="s">
        <v>115</v>
      </c>
      <c r="B37" s="202" t="s">
        <v>122</v>
      </c>
      <c r="C37" s="202" t="s">
        <v>27</v>
      </c>
      <c r="D37" s="270">
        <v>36</v>
      </c>
      <c r="E37" s="202">
        <v>36</v>
      </c>
      <c r="F37" s="202" t="s">
        <v>123</v>
      </c>
      <c r="G37" s="203"/>
      <c r="H37" s="202" t="s">
        <v>124</v>
      </c>
      <c r="I37" s="202"/>
      <c r="J37" s="202"/>
      <c r="K37" s="202"/>
      <c r="L37" s="204"/>
      <c r="M37" s="202" t="s">
        <v>31</v>
      </c>
      <c r="N37" s="202"/>
      <c r="O37" s="202"/>
      <c r="P37" s="202"/>
      <c r="Q37" s="203"/>
      <c r="R37" s="205"/>
      <c r="S37" s="203"/>
      <c r="T37" s="202"/>
      <c r="U37" s="202"/>
      <c r="V37" s="202"/>
      <c r="W37" s="202"/>
      <c r="X37" s="202"/>
      <c r="Y37" s="202" t="s">
        <v>33</v>
      </c>
      <c r="Z37" s="202"/>
      <c r="AB37" s="201"/>
      <c r="AC37" s="207"/>
      <c r="AE37" s="201"/>
    </row>
    <row r="38" spans="1:37" ht="21" customHeight="1">
      <c r="A38" s="246" t="s">
        <v>115</v>
      </c>
      <c r="B38" s="202" t="s">
        <v>75</v>
      </c>
      <c r="C38" s="202" t="s">
        <v>27</v>
      </c>
      <c r="D38" s="270">
        <v>37</v>
      </c>
      <c r="E38" s="202">
        <v>37</v>
      </c>
      <c r="F38" s="202" t="s">
        <v>125</v>
      </c>
      <c r="G38" s="203"/>
      <c r="H38" s="202"/>
      <c r="I38" s="202"/>
      <c r="J38" s="202" t="s">
        <v>31</v>
      </c>
      <c r="K38" s="202"/>
      <c r="L38" s="204"/>
      <c r="M38" s="202" t="s">
        <v>31</v>
      </c>
      <c r="N38" s="202"/>
      <c r="O38" s="202"/>
      <c r="P38" s="202" t="s">
        <v>14</v>
      </c>
      <c r="Q38" s="203"/>
      <c r="R38" s="205" t="s">
        <v>126</v>
      </c>
      <c r="S38" s="203"/>
      <c r="T38" s="202" t="s">
        <v>127</v>
      </c>
      <c r="U38" s="202"/>
      <c r="V38" s="202" t="s">
        <v>32</v>
      </c>
      <c r="W38" s="202"/>
      <c r="X38" s="202"/>
      <c r="Y38" s="202" t="s">
        <v>33</v>
      </c>
      <c r="Z38" s="202"/>
      <c r="AB38" s="201"/>
      <c r="AC38" s="207"/>
      <c r="AE38" s="201"/>
    </row>
    <row r="39" spans="1:37" ht="21" customHeight="1">
      <c r="A39" s="246" t="s">
        <v>115</v>
      </c>
      <c r="B39" s="202" t="s">
        <v>34</v>
      </c>
      <c r="C39" s="202" t="s">
        <v>27</v>
      </c>
      <c r="D39" s="270">
        <v>38</v>
      </c>
      <c r="E39" s="202">
        <v>38</v>
      </c>
      <c r="F39" s="202" t="s">
        <v>128</v>
      </c>
      <c r="G39" s="203"/>
      <c r="H39" s="202" t="s">
        <v>129</v>
      </c>
      <c r="I39" s="202"/>
      <c r="J39" s="202"/>
      <c r="K39" s="202"/>
      <c r="L39" s="204" t="s">
        <v>30</v>
      </c>
      <c r="M39" s="202"/>
      <c r="N39" s="202"/>
      <c r="O39" s="202"/>
      <c r="P39" s="202" t="s">
        <v>14</v>
      </c>
      <c r="Q39" s="203"/>
      <c r="R39" s="205"/>
      <c r="S39" s="203"/>
      <c r="T39" s="202" t="s">
        <v>130</v>
      </c>
      <c r="U39" s="202"/>
      <c r="V39" s="202"/>
      <c r="W39" s="202"/>
      <c r="X39" s="202" t="s">
        <v>49</v>
      </c>
      <c r="Y39" s="202"/>
      <c r="Z39" s="202"/>
      <c r="AB39" s="201"/>
      <c r="AC39" s="207"/>
      <c r="AE39" s="201"/>
    </row>
    <row r="40" spans="1:37" ht="21" customHeight="1">
      <c r="A40" s="246" t="s">
        <v>115</v>
      </c>
      <c r="B40" s="202" t="s">
        <v>131</v>
      </c>
      <c r="C40" s="202" t="s">
        <v>27</v>
      </c>
      <c r="D40" s="270">
        <v>39</v>
      </c>
      <c r="E40" s="202">
        <v>39</v>
      </c>
      <c r="F40" s="202" t="s">
        <v>132</v>
      </c>
      <c r="G40" s="203"/>
      <c r="H40" s="202"/>
      <c r="I40" s="202"/>
      <c r="J40" s="202"/>
      <c r="K40" s="202" t="s">
        <v>30</v>
      </c>
      <c r="L40" s="204"/>
      <c r="M40" s="202"/>
      <c r="N40" s="202" t="s">
        <v>53</v>
      </c>
      <c r="O40" s="202"/>
      <c r="P40" s="202"/>
      <c r="Q40" s="203"/>
      <c r="R40" s="205"/>
      <c r="S40" s="203"/>
      <c r="T40" s="210"/>
      <c r="U40" s="202"/>
      <c r="V40" s="202"/>
      <c r="W40" s="202" t="s">
        <v>54</v>
      </c>
      <c r="X40" s="202"/>
      <c r="Y40" s="202"/>
      <c r="Z40" s="202" t="s">
        <v>55</v>
      </c>
      <c r="AB40" s="201"/>
      <c r="AC40" s="207"/>
      <c r="AE40" s="201"/>
    </row>
    <row r="41" spans="1:37" ht="21" customHeight="1">
      <c r="A41" s="246" t="s">
        <v>115</v>
      </c>
      <c r="B41" s="202" t="s">
        <v>50</v>
      </c>
      <c r="C41" s="202" t="s">
        <v>27</v>
      </c>
      <c r="D41" s="270">
        <v>40</v>
      </c>
      <c r="E41" s="202">
        <v>40</v>
      </c>
      <c r="F41" s="202" t="s">
        <v>133</v>
      </c>
      <c r="G41" s="203"/>
      <c r="H41" s="202"/>
      <c r="I41" s="202"/>
      <c r="J41" s="202"/>
      <c r="K41" s="202"/>
      <c r="L41" s="204" t="s">
        <v>30</v>
      </c>
      <c r="M41" s="202"/>
      <c r="N41" s="202"/>
      <c r="O41" s="202"/>
      <c r="P41" s="202"/>
      <c r="Q41" s="203"/>
      <c r="R41" s="205"/>
      <c r="S41" s="203"/>
      <c r="T41" s="210"/>
      <c r="U41" s="202"/>
      <c r="V41" s="202"/>
      <c r="W41" s="202"/>
      <c r="X41" s="202" t="s">
        <v>49</v>
      </c>
      <c r="Y41" s="202"/>
      <c r="Z41" s="202"/>
      <c r="AB41" s="201"/>
      <c r="AC41" s="207"/>
      <c r="AE41" s="201"/>
    </row>
    <row r="42" spans="1:37" ht="21" customHeight="1">
      <c r="A42" s="246" t="s">
        <v>115</v>
      </c>
      <c r="B42" s="202" t="s">
        <v>73</v>
      </c>
      <c r="C42" s="202" t="s">
        <v>27</v>
      </c>
      <c r="D42" s="270">
        <v>41</v>
      </c>
      <c r="E42" s="202">
        <v>41</v>
      </c>
      <c r="F42" s="202" t="s">
        <v>134</v>
      </c>
      <c r="G42" s="203"/>
      <c r="H42" s="202"/>
      <c r="I42" s="202"/>
      <c r="J42" s="202"/>
      <c r="K42" s="202"/>
      <c r="L42" s="204"/>
      <c r="M42" s="202" t="s">
        <v>31</v>
      </c>
      <c r="N42" s="202"/>
      <c r="O42" s="202"/>
      <c r="P42" s="202"/>
      <c r="Q42" s="203"/>
      <c r="R42" s="205"/>
      <c r="S42" s="203"/>
      <c r="T42" s="202"/>
      <c r="U42" s="202"/>
      <c r="V42" s="202"/>
      <c r="W42" s="202"/>
      <c r="X42" s="202"/>
      <c r="Y42" s="202" t="s">
        <v>33</v>
      </c>
      <c r="Z42" s="202"/>
      <c r="AB42" s="201"/>
      <c r="AC42" s="207"/>
      <c r="AE42" s="201"/>
    </row>
    <row r="43" spans="1:37" ht="21" customHeight="1">
      <c r="A43" s="246" t="s">
        <v>115</v>
      </c>
      <c r="B43" s="202" t="s">
        <v>75</v>
      </c>
      <c r="C43" s="202" t="s">
        <v>27</v>
      </c>
      <c r="D43" s="270">
        <v>42</v>
      </c>
      <c r="E43" s="202">
        <v>42</v>
      </c>
      <c r="F43" s="202" t="s">
        <v>135</v>
      </c>
      <c r="G43" s="203"/>
      <c r="H43" s="202"/>
      <c r="I43" s="202"/>
      <c r="J43" s="202"/>
      <c r="K43" s="202" t="s">
        <v>30</v>
      </c>
      <c r="L43" s="204"/>
      <c r="M43" s="202"/>
      <c r="N43" s="202"/>
      <c r="O43" s="202"/>
      <c r="P43" s="202"/>
      <c r="Q43" s="203"/>
      <c r="R43" s="205"/>
      <c r="S43" s="203"/>
      <c r="T43" s="210"/>
      <c r="U43" s="202"/>
      <c r="V43" s="202"/>
      <c r="W43" s="202" t="s">
        <v>54</v>
      </c>
      <c r="X43" s="202"/>
      <c r="Y43" s="202"/>
      <c r="Z43" s="202"/>
      <c r="AB43" s="201"/>
      <c r="AC43" s="207"/>
      <c r="AE43" s="201"/>
    </row>
    <row r="44" spans="1:37" ht="21" customHeight="1">
      <c r="A44" s="246" t="s">
        <v>115</v>
      </c>
      <c r="B44" s="202" t="s">
        <v>98</v>
      </c>
      <c r="C44" s="202" t="s">
        <v>27</v>
      </c>
      <c r="D44" s="270">
        <v>43</v>
      </c>
      <c r="E44" s="202">
        <v>43</v>
      </c>
      <c r="F44" s="202" t="s">
        <v>136</v>
      </c>
      <c r="G44" s="203"/>
      <c r="H44" s="202"/>
      <c r="I44" s="202"/>
      <c r="J44" s="202"/>
      <c r="K44" s="202" t="s">
        <v>30</v>
      </c>
      <c r="L44" s="204"/>
      <c r="M44" s="202"/>
      <c r="N44" s="202"/>
      <c r="O44" s="202"/>
      <c r="P44" s="202"/>
      <c r="Q44" s="203"/>
      <c r="R44" s="205"/>
      <c r="S44" s="203"/>
      <c r="T44" s="210"/>
      <c r="U44" s="202"/>
      <c r="V44" s="202"/>
      <c r="W44" s="202" t="s">
        <v>54</v>
      </c>
      <c r="X44" s="202"/>
      <c r="Y44" s="202"/>
      <c r="Z44" s="202"/>
      <c r="AB44" s="201"/>
      <c r="AC44" s="207"/>
      <c r="AE44" s="201"/>
    </row>
    <row r="45" spans="1:37" ht="21" customHeight="1">
      <c r="A45" s="246" t="s">
        <v>115</v>
      </c>
      <c r="B45" s="202" t="s">
        <v>102</v>
      </c>
      <c r="C45" s="202" t="s">
        <v>27</v>
      </c>
      <c r="D45" s="270">
        <v>44</v>
      </c>
      <c r="E45" s="202">
        <v>44</v>
      </c>
      <c r="F45" s="202" t="s">
        <v>137</v>
      </c>
      <c r="G45" s="203" t="s">
        <v>104</v>
      </c>
      <c r="H45" s="202"/>
      <c r="I45" s="202" t="s">
        <v>30</v>
      </c>
      <c r="J45" s="202" t="s">
        <v>31</v>
      </c>
      <c r="K45" s="202" t="s">
        <v>30</v>
      </c>
      <c r="L45" s="204" t="s">
        <v>30</v>
      </c>
      <c r="M45" s="202" t="s">
        <v>31</v>
      </c>
      <c r="N45" s="202" t="s">
        <v>53</v>
      </c>
      <c r="O45" s="202"/>
      <c r="P45" s="202"/>
      <c r="Q45" s="203"/>
      <c r="R45" s="205"/>
      <c r="S45" s="203"/>
      <c r="T45" s="202"/>
      <c r="U45" s="202" t="s">
        <v>48</v>
      </c>
      <c r="V45" s="202" t="s">
        <v>32</v>
      </c>
      <c r="W45" s="202" t="s">
        <v>54</v>
      </c>
      <c r="X45" s="202" t="s">
        <v>49</v>
      </c>
      <c r="Y45" s="202" t="s">
        <v>33</v>
      </c>
      <c r="Z45" s="202" t="s">
        <v>55</v>
      </c>
      <c r="AB45" s="201"/>
      <c r="AC45" s="207"/>
      <c r="AE45" s="201"/>
    </row>
    <row r="46" spans="1:37" ht="21" customHeight="1">
      <c r="A46" s="246" t="s">
        <v>115</v>
      </c>
      <c r="B46" s="202" t="s">
        <v>73</v>
      </c>
      <c r="C46" s="202" t="s">
        <v>27</v>
      </c>
      <c r="D46" s="270">
        <v>45</v>
      </c>
      <c r="E46" s="202">
        <v>45</v>
      </c>
      <c r="F46" s="202" t="s">
        <v>138</v>
      </c>
      <c r="G46" s="203"/>
      <c r="H46" s="202"/>
      <c r="I46" s="202" t="s">
        <v>31</v>
      </c>
      <c r="J46" s="202"/>
      <c r="K46" s="202"/>
      <c r="L46" s="204"/>
      <c r="M46" s="202" t="s">
        <v>31</v>
      </c>
      <c r="N46" s="202"/>
      <c r="O46" s="202"/>
      <c r="P46" s="202"/>
      <c r="Q46" s="203"/>
      <c r="R46" s="205"/>
      <c r="S46" s="203"/>
      <c r="T46" s="210"/>
      <c r="U46" s="202"/>
      <c r="V46" s="202"/>
      <c r="W46" s="202"/>
      <c r="X46" s="202"/>
      <c r="Y46" s="202" t="s">
        <v>33</v>
      </c>
      <c r="Z46" s="202"/>
      <c r="AB46" s="201"/>
      <c r="AC46" s="207"/>
      <c r="AE46" s="201"/>
    </row>
    <row r="47" spans="1:37" ht="21" customHeight="1">
      <c r="A47" s="246" t="s">
        <v>115</v>
      </c>
      <c r="B47" s="202" t="s">
        <v>98</v>
      </c>
      <c r="C47" s="202" t="s">
        <v>27</v>
      </c>
      <c r="D47" s="270">
        <v>46</v>
      </c>
      <c r="E47" s="202">
        <v>46</v>
      </c>
      <c r="F47" s="202" t="s">
        <v>139</v>
      </c>
      <c r="G47" s="203"/>
      <c r="H47" s="202"/>
      <c r="I47" s="202"/>
      <c r="J47" s="202"/>
      <c r="K47" s="202"/>
      <c r="L47" s="204"/>
      <c r="M47" s="202" t="s">
        <v>31</v>
      </c>
      <c r="N47" s="202"/>
      <c r="O47" s="202"/>
      <c r="P47" s="202"/>
      <c r="Q47" s="203"/>
      <c r="R47" s="205"/>
      <c r="S47" s="203"/>
      <c r="T47" s="210"/>
      <c r="U47" s="202"/>
      <c r="V47" s="202"/>
      <c r="W47" s="202"/>
      <c r="X47" s="202"/>
      <c r="Y47" s="202" t="s">
        <v>33</v>
      </c>
      <c r="Z47" s="202"/>
      <c r="AB47" s="201"/>
      <c r="AC47" s="207"/>
      <c r="AE47" s="201"/>
    </row>
    <row r="48" spans="1:37" ht="21" customHeight="1">
      <c r="A48" s="246" t="s">
        <v>115</v>
      </c>
      <c r="B48" s="202" t="s">
        <v>50</v>
      </c>
      <c r="C48" s="202" t="s">
        <v>27</v>
      </c>
      <c r="D48" s="270">
        <v>47</v>
      </c>
      <c r="E48" s="202">
        <v>47</v>
      </c>
      <c r="F48" s="202" t="s">
        <v>140</v>
      </c>
      <c r="G48" s="203"/>
      <c r="H48" s="202" t="s">
        <v>141</v>
      </c>
      <c r="I48" s="202" t="s">
        <v>30</v>
      </c>
      <c r="J48" s="202"/>
      <c r="K48" s="202"/>
      <c r="L48" s="204" t="s">
        <v>30</v>
      </c>
      <c r="M48" s="202"/>
      <c r="N48" s="202"/>
      <c r="O48" s="202"/>
      <c r="P48" s="202"/>
      <c r="Q48" s="203"/>
      <c r="R48" s="205"/>
      <c r="S48" s="203"/>
      <c r="T48" s="210" t="s">
        <v>142</v>
      </c>
      <c r="U48" s="202" t="s">
        <v>48</v>
      </c>
      <c r="V48" s="202"/>
      <c r="W48" s="202"/>
      <c r="X48" s="202" t="s">
        <v>49</v>
      </c>
      <c r="Y48" s="202"/>
      <c r="Z48" s="202"/>
      <c r="AB48" s="201"/>
      <c r="AC48" s="207"/>
      <c r="AE48" s="201"/>
    </row>
    <row r="49" spans="1:37" ht="21" customHeight="1">
      <c r="A49" s="246" t="s">
        <v>115</v>
      </c>
      <c r="B49" s="202" t="s">
        <v>73</v>
      </c>
      <c r="C49" s="202" t="s">
        <v>27</v>
      </c>
      <c r="D49" s="270">
        <v>48</v>
      </c>
      <c r="E49" s="202">
        <v>48</v>
      </c>
      <c r="F49" s="202" t="s">
        <v>143</v>
      </c>
      <c r="G49" s="203"/>
      <c r="H49" s="202"/>
      <c r="I49" s="203" t="s">
        <v>30</v>
      </c>
      <c r="J49" s="202"/>
      <c r="K49" s="202" t="s">
        <v>30</v>
      </c>
      <c r="L49" s="204"/>
      <c r="M49" s="202" t="s">
        <v>31</v>
      </c>
      <c r="N49" s="202"/>
      <c r="O49" s="202"/>
      <c r="P49" s="202"/>
      <c r="Q49" s="203"/>
      <c r="R49" s="205"/>
      <c r="S49" s="203"/>
      <c r="T49" s="210"/>
      <c r="U49" s="203" t="s">
        <v>48</v>
      </c>
      <c r="V49" s="202"/>
      <c r="W49" s="202" t="s">
        <v>54</v>
      </c>
      <c r="X49" s="202"/>
      <c r="Y49" s="202" t="s">
        <v>33</v>
      </c>
      <c r="Z49" s="202"/>
      <c r="AB49" s="201"/>
      <c r="AC49" s="207"/>
      <c r="AE49" s="201"/>
    </row>
    <row r="50" spans="1:37" ht="21" customHeight="1">
      <c r="A50" s="246" t="s">
        <v>115</v>
      </c>
      <c r="B50" s="202" t="s">
        <v>75</v>
      </c>
      <c r="C50" s="202" t="s">
        <v>27</v>
      </c>
      <c r="D50" s="270">
        <v>49</v>
      </c>
      <c r="E50" s="202">
        <v>49</v>
      </c>
      <c r="F50" s="202" t="s">
        <v>144</v>
      </c>
      <c r="G50" s="203"/>
      <c r="H50" s="202"/>
      <c r="I50" s="202" t="s">
        <v>30</v>
      </c>
      <c r="J50" s="202"/>
      <c r="K50" s="202"/>
      <c r="L50" s="204" t="s">
        <v>30</v>
      </c>
      <c r="M50" s="202"/>
      <c r="N50" s="202"/>
      <c r="O50" s="202"/>
      <c r="P50" s="202"/>
      <c r="Q50" s="203"/>
      <c r="R50" s="205"/>
      <c r="S50" s="203"/>
      <c r="T50" s="210"/>
      <c r="U50" s="202" t="s">
        <v>48</v>
      </c>
      <c r="V50" s="202"/>
      <c r="W50" s="202"/>
      <c r="X50" s="202" t="s">
        <v>49</v>
      </c>
      <c r="Y50" s="202"/>
      <c r="Z50" s="202"/>
      <c r="AB50" s="201"/>
      <c r="AC50" s="207"/>
      <c r="AE50" s="201"/>
    </row>
    <row r="51" spans="1:37" ht="21" customHeight="1">
      <c r="A51" s="246" t="s">
        <v>115</v>
      </c>
      <c r="B51" s="202" t="s">
        <v>73</v>
      </c>
      <c r="C51" s="202" t="s">
        <v>27</v>
      </c>
      <c r="D51" s="270">
        <v>50</v>
      </c>
      <c r="E51" s="202">
        <v>50</v>
      </c>
      <c r="F51" s="202" t="s">
        <v>145</v>
      </c>
      <c r="G51" s="203"/>
      <c r="H51" s="202"/>
      <c r="I51" s="203" t="s">
        <v>30</v>
      </c>
      <c r="J51" s="202"/>
      <c r="K51" s="202" t="s">
        <v>30</v>
      </c>
      <c r="L51" s="204"/>
      <c r="M51" s="202" t="s">
        <v>31</v>
      </c>
      <c r="N51" s="202"/>
      <c r="O51" s="202"/>
      <c r="P51" s="202"/>
      <c r="Q51" s="203"/>
      <c r="R51" s="205"/>
      <c r="S51" s="203"/>
      <c r="T51" s="210"/>
      <c r="U51" s="203" t="s">
        <v>48</v>
      </c>
      <c r="V51" s="202"/>
      <c r="W51" s="202" t="s">
        <v>54</v>
      </c>
      <c r="X51" s="202"/>
      <c r="Y51" s="202" t="s">
        <v>33</v>
      </c>
      <c r="Z51" s="202"/>
      <c r="AB51" s="201"/>
      <c r="AC51" s="207"/>
      <c r="AE51" s="201"/>
    </row>
    <row r="52" spans="1:37" ht="21" customHeight="1">
      <c r="A52" s="246" t="s">
        <v>115</v>
      </c>
      <c r="B52" s="202" t="s">
        <v>73</v>
      </c>
      <c r="C52" s="202" t="s">
        <v>27</v>
      </c>
      <c r="D52" s="270">
        <v>51</v>
      </c>
      <c r="E52" s="202">
        <v>51</v>
      </c>
      <c r="F52" s="202" t="s">
        <v>146</v>
      </c>
      <c r="G52" s="203"/>
      <c r="H52" s="202" t="s">
        <v>147</v>
      </c>
      <c r="I52" s="202"/>
      <c r="J52" s="202"/>
      <c r="K52" s="202"/>
      <c r="L52" s="204"/>
      <c r="M52" s="202" t="s">
        <v>31</v>
      </c>
      <c r="N52" s="202"/>
      <c r="O52" s="202"/>
      <c r="P52" s="202"/>
      <c r="Q52" s="203"/>
      <c r="R52" s="205" t="s">
        <v>148</v>
      </c>
      <c r="S52" s="203"/>
      <c r="T52" s="202"/>
      <c r="U52" s="202"/>
      <c r="V52" s="202" t="s">
        <v>32</v>
      </c>
      <c r="W52" s="202"/>
      <c r="X52" s="202"/>
      <c r="Y52" s="202" t="s">
        <v>33</v>
      </c>
      <c r="Z52" s="202"/>
      <c r="AB52" s="201"/>
      <c r="AC52" s="207"/>
      <c r="AE52" s="201"/>
    </row>
    <row r="53" spans="1:37" ht="21" customHeight="1">
      <c r="A53" s="246" t="s">
        <v>115</v>
      </c>
      <c r="B53" s="202" t="s">
        <v>149</v>
      </c>
      <c r="C53" s="202" t="s">
        <v>27</v>
      </c>
      <c r="D53" s="270">
        <v>52</v>
      </c>
      <c r="E53" s="202">
        <v>52</v>
      </c>
      <c r="F53" s="202" t="s">
        <v>150</v>
      </c>
      <c r="G53" s="203"/>
      <c r="H53" s="202" t="s">
        <v>151</v>
      </c>
      <c r="I53" s="202"/>
      <c r="J53" s="202"/>
      <c r="K53" s="202" t="s">
        <v>30</v>
      </c>
      <c r="L53" s="204"/>
      <c r="M53" s="202"/>
      <c r="N53" s="202"/>
      <c r="O53" s="202"/>
      <c r="P53" s="202"/>
      <c r="Q53" s="203"/>
      <c r="R53" s="205"/>
      <c r="S53" s="203"/>
      <c r="T53" s="210" t="s">
        <v>152</v>
      </c>
      <c r="U53" s="202"/>
      <c r="V53" s="202"/>
      <c r="W53" s="202" t="s">
        <v>54</v>
      </c>
      <c r="X53" s="202"/>
      <c r="Y53" s="202"/>
      <c r="Z53" s="202"/>
      <c r="AB53" s="201"/>
      <c r="AC53" s="207"/>
      <c r="AE53" s="201"/>
    </row>
    <row r="54" spans="1:37" ht="21" customHeight="1">
      <c r="A54" s="246" t="s">
        <v>115</v>
      </c>
      <c r="B54" s="202" t="s">
        <v>50</v>
      </c>
      <c r="C54" s="202" t="s">
        <v>27</v>
      </c>
      <c r="D54" s="270">
        <v>53</v>
      </c>
      <c r="E54" s="202">
        <v>53</v>
      </c>
      <c r="F54" s="202" t="s">
        <v>153</v>
      </c>
      <c r="G54" s="203"/>
      <c r="H54" s="202"/>
      <c r="I54" s="202" t="s">
        <v>31</v>
      </c>
      <c r="J54" s="202"/>
      <c r="K54" s="202"/>
      <c r="L54" s="204" t="s">
        <v>30</v>
      </c>
      <c r="M54" s="202"/>
      <c r="N54" s="202"/>
      <c r="O54" s="202"/>
      <c r="P54" s="202"/>
      <c r="Q54" s="203"/>
      <c r="R54" s="205"/>
      <c r="S54" s="203"/>
      <c r="T54" s="210"/>
      <c r="U54" s="202"/>
      <c r="V54" s="202"/>
      <c r="W54" s="202"/>
      <c r="X54" s="202" t="s">
        <v>49</v>
      </c>
      <c r="Y54" s="202"/>
      <c r="Z54" s="202"/>
      <c r="AB54" s="201"/>
      <c r="AC54" s="207"/>
      <c r="AE54" s="201"/>
    </row>
    <row r="55" spans="1:37" ht="21" customHeight="1">
      <c r="A55" s="246" t="s">
        <v>115</v>
      </c>
      <c r="B55" s="202" t="s">
        <v>50</v>
      </c>
      <c r="C55" s="202" t="s">
        <v>27</v>
      </c>
      <c r="D55" s="270">
        <v>54</v>
      </c>
      <c r="E55" s="202">
        <v>54</v>
      </c>
      <c r="F55" s="202" t="s">
        <v>154</v>
      </c>
      <c r="G55" s="203"/>
      <c r="H55" s="202"/>
      <c r="I55" s="202"/>
      <c r="J55" s="202"/>
      <c r="K55" s="202"/>
      <c r="L55" s="204" t="s">
        <v>30</v>
      </c>
      <c r="M55" s="202"/>
      <c r="N55" s="202"/>
      <c r="O55" s="202"/>
      <c r="P55" s="202"/>
      <c r="Q55" s="203"/>
      <c r="R55" s="205"/>
      <c r="S55" s="203"/>
      <c r="T55" s="210"/>
      <c r="U55" s="202"/>
      <c r="V55" s="202"/>
      <c r="W55" s="202"/>
      <c r="X55" s="202" t="s">
        <v>49</v>
      </c>
      <c r="Y55" s="202"/>
      <c r="Z55" s="202"/>
      <c r="AB55" s="201"/>
      <c r="AC55" s="207"/>
      <c r="AE55" s="201"/>
    </row>
    <row r="56" spans="1:37" ht="21" customHeight="1">
      <c r="A56" s="246" t="s">
        <v>115</v>
      </c>
      <c r="B56" s="202" t="s">
        <v>98</v>
      </c>
      <c r="C56" s="202" t="s">
        <v>27</v>
      </c>
      <c r="D56" s="270">
        <v>55</v>
      </c>
      <c r="E56" s="202">
        <v>55</v>
      </c>
      <c r="F56" s="202" t="s">
        <v>155</v>
      </c>
      <c r="G56" s="203"/>
      <c r="H56" s="202" t="s">
        <v>156</v>
      </c>
      <c r="I56" s="202"/>
      <c r="J56" s="202"/>
      <c r="K56" s="202"/>
      <c r="L56" s="204"/>
      <c r="M56" s="202" t="s">
        <v>31</v>
      </c>
      <c r="N56" s="202"/>
      <c r="O56" s="202"/>
      <c r="P56" s="202" t="s">
        <v>14</v>
      </c>
      <c r="Q56" s="203"/>
      <c r="R56" s="205"/>
      <c r="S56" s="203"/>
      <c r="T56" s="202" t="s">
        <v>157</v>
      </c>
      <c r="U56" s="202"/>
      <c r="V56" s="202"/>
      <c r="W56" s="202"/>
      <c r="X56" s="202"/>
      <c r="Y56" s="202" t="s">
        <v>33</v>
      </c>
      <c r="Z56" s="202"/>
      <c r="AB56" s="201"/>
      <c r="AC56" s="207"/>
      <c r="AE56" s="201"/>
    </row>
    <row r="57" spans="1:37" ht="21" customHeight="1">
      <c r="A57" s="246" t="s">
        <v>115</v>
      </c>
      <c r="B57" s="202" t="s">
        <v>98</v>
      </c>
      <c r="C57" s="202" t="s">
        <v>27</v>
      </c>
      <c r="D57" s="270">
        <v>56</v>
      </c>
      <c r="E57" s="202">
        <v>56</v>
      </c>
      <c r="F57" s="202" t="s">
        <v>158</v>
      </c>
      <c r="G57" s="203"/>
      <c r="H57" s="202" t="s">
        <v>159</v>
      </c>
      <c r="I57" s="202" t="s">
        <v>31</v>
      </c>
      <c r="J57" s="202"/>
      <c r="K57" s="202" t="s">
        <v>30</v>
      </c>
      <c r="L57" s="204"/>
      <c r="M57" s="202" t="s">
        <v>31</v>
      </c>
      <c r="N57" s="202"/>
      <c r="O57" s="202"/>
      <c r="P57" s="202"/>
      <c r="Q57" s="203"/>
      <c r="R57" s="205"/>
      <c r="S57" s="203"/>
      <c r="T57" s="202"/>
      <c r="U57" s="202" t="s">
        <v>48</v>
      </c>
      <c r="V57" s="202"/>
      <c r="W57" s="202" t="s">
        <v>54</v>
      </c>
      <c r="X57" s="202"/>
      <c r="Y57" s="202" t="s">
        <v>33</v>
      </c>
      <c r="Z57" s="202"/>
      <c r="AB57" s="201"/>
      <c r="AC57" s="207"/>
      <c r="AE57" s="201"/>
    </row>
    <row r="58" spans="1:37" ht="21" customHeight="1">
      <c r="A58" s="246" t="s">
        <v>115</v>
      </c>
      <c r="B58" s="202" t="s">
        <v>98</v>
      </c>
      <c r="C58" s="202" t="s">
        <v>27</v>
      </c>
      <c r="D58" s="270">
        <v>57</v>
      </c>
      <c r="E58" s="202">
        <v>57</v>
      </c>
      <c r="F58" s="202" t="s">
        <v>160</v>
      </c>
      <c r="G58" s="203"/>
      <c r="H58" s="202" t="s">
        <v>161</v>
      </c>
      <c r="I58" s="202"/>
      <c r="J58" s="202"/>
      <c r="K58" s="202" t="s">
        <v>30</v>
      </c>
      <c r="L58" s="204"/>
      <c r="M58" s="202"/>
      <c r="N58" s="202"/>
      <c r="O58" s="202"/>
      <c r="P58" s="202" t="s">
        <v>14</v>
      </c>
      <c r="Q58" s="203"/>
      <c r="R58" s="205"/>
      <c r="S58" s="203"/>
      <c r="T58" s="202" t="s">
        <v>157</v>
      </c>
      <c r="U58" s="202"/>
      <c r="V58" s="202"/>
      <c r="W58" s="202" t="s">
        <v>54</v>
      </c>
      <c r="X58" s="202"/>
      <c r="Y58" s="202"/>
      <c r="Z58" s="202"/>
      <c r="AB58" s="201"/>
      <c r="AC58" s="208"/>
      <c r="AD58" s="209"/>
      <c r="AE58" s="209"/>
      <c r="AF58" s="209"/>
      <c r="AG58" s="209"/>
      <c r="AH58" s="209"/>
      <c r="AI58" s="209"/>
      <c r="AJ58" s="209"/>
      <c r="AK58" s="209"/>
    </row>
    <row r="59" spans="1:37" ht="21" customHeight="1">
      <c r="A59" s="244" t="s">
        <v>162</v>
      </c>
      <c r="B59" s="202" t="s">
        <v>26</v>
      </c>
      <c r="C59" s="202" t="s">
        <v>27</v>
      </c>
      <c r="D59" s="271">
        <v>58</v>
      </c>
      <c r="E59" s="202">
        <v>58</v>
      </c>
      <c r="F59" s="202" t="s">
        <v>163</v>
      </c>
      <c r="G59" s="203"/>
      <c r="H59" s="202" t="s">
        <v>164</v>
      </c>
      <c r="I59" s="202" t="s">
        <v>31</v>
      </c>
      <c r="J59" s="202"/>
      <c r="K59" s="202" t="s">
        <v>30</v>
      </c>
      <c r="L59" s="204"/>
      <c r="M59" s="202" t="s">
        <v>31</v>
      </c>
      <c r="N59" s="202"/>
      <c r="O59" s="202"/>
      <c r="P59" s="202"/>
      <c r="Q59" s="203"/>
      <c r="R59" s="205"/>
      <c r="S59" s="203"/>
      <c r="T59" s="202"/>
      <c r="U59" s="202" t="s">
        <v>48</v>
      </c>
      <c r="V59" s="202"/>
      <c r="W59" s="202" t="s">
        <v>54</v>
      </c>
      <c r="X59" s="202"/>
      <c r="Y59" s="202" t="s">
        <v>33</v>
      </c>
      <c r="Z59" s="202"/>
      <c r="AB59" s="201"/>
      <c r="AC59" s="208"/>
      <c r="AD59" s="209"/>
      <c r="AE59" s="209"/>
      <c r="AF59" s="209"/>
      <c r="AG59" s="209"/>
      <c r="AH59" s="209"/>
      <c r="AI59" s="209"/>
      <c r="AJ59" s="209"/>
      <c r="AK59" s="209"/>
    </row>
    <row r="60" spans="1:37" ht="21" customHeight="1">
      <c r="A60" s="244" t="s">
        <v>162</v>
      </c>
      <c r="B60" s="202" t="s">
        <v>122</v>
      </c>
      <c r="C60" s="202" t="s">
        <v>27</v>
      </c>
      <c r="D60" s="271">
        <v>59</v>
      </c>
      <c r="E60" s="202">
        <v>59</v>
      </c>
      <c r="F60" s="202" t="s">
        <v>165</v>
      </c>
      <c r="G60" s="203"/>
      <c r="H60" s="202" t="s">
        <v>166</v>
      </c>
      <c r="I60" s="202"/>
      <c r="J60" s="202"/>
      <c r="K60" s="202"/>
      <c r="L60" s="204"/>
      <c r="M60" s="202" t="s">
        <v>31</v>
      </c>
      <c r="N60" s="202"/>
      <c r="O60" s="202"/>
      <c r="P60" s="202"/>
      <c r="Q60" s="203"/>
      <c r="R60" s="205"/>
      <c r="S60" s="203"/>
      <c r="T60" s="202"/>
      <c r="U60" s="202"/>
      <c r="V60" s="202"/>
      <c r="W60" s="202"/>
      <c r="X60" s="202"/>
      <c r="Y60" s="202" t="s">
        <v>33</v>
      </c>
      <c r="Z60" s="202"/>
      <c r="AB60" s="201"/>
      <c r="AC60" s="208"/>
      <c r="AD60" s="209"/>
      <c r="AE60" s="209"/>
      <c r="AF60" s="209"/>
      <c r="AG60" s="209"/>
      <c r="AH60" s="209"/>
      <c r="AI60" s="209"/>
      <c r="AJ60" s="209"/>
      <c r="AK60" s="209"/>
    </row>
    <row r="61" spans="1:37" ht="21" customHeight="1">
      <c r="A61" s="244" t="s">
        <v>162</v>
      </c>
      <c r="B61" s="202" t="s">
        <v>95</v>
      </c>
      <c r="C61" s="202" t="s">
        <v>27</v>
      </c>
      <c r="D61" s="271">
        <v>60</v>
      </c>
      <c r="E61" s="202">
        <v>60</v>
      </c>
      <c r="F61" s="202" t="s">
        <v>167</v>
      </c>
      <c r="G61" s="203" t="s">
        <v>52</v>
      </c>
      <c r="H61" s="202" t="s">
        <v>168</v>
      </c>
      <c r="I61" s="202"/>
      <c r="J61" s="202"/>
      <c r="K61" s="202"/>
      <c r="L61" s="204"/>
      <c r="M61" s="202" t="s">
        <v>31</v>
      </c>
      <c r="N61" s="202"/>
      <c r="O61" s="202"/>
      <c r="P61" s="202" t="s">
        <v>14</v>
      </c>
      <c r="Q61" s="203"/>
      <c r="R61" s="205"/>
      <c r="S61" s="203"/>
      <c r="T61" s="202"/>
      <c r="U61" s="202"/>
      <c r="V61" s="202"/>
      <c r="W61" s="202"/>
      <c r="X61" s="202"/>
      <c r="Y61" s="202" t="s">
        <v>33</v>
      </c>
      <c r="Z61" s="202"/>
      <c r="AB61" s="201"/>
      <c r="AC61" s="208"/>
      <c r="AD61" s="209"/>
      <c r="AE61" s="209"/>
      <c r="AF61" s="209"/>
      <c r="AG61" s="209"/>
      <c r="AH61" s="209"/>
      <c r="AI61" s="209"/>
      <c r="AJ61" s="209"/>
      <c r="AK61" s="209"/>
    </row>
    <row r="62" spans="1:37" ht="21" customHeight="1">
      <c r="A62" s="244" t="s">
        <v>162</v>
      </c>
      <c r="B62" s="202" t="s">
        <v>95</v>
      </c>
      <c r="C62" s="202" t="s">
        <v>27</v>
      </c>
      <c r="D62" s="271">
        <v>61</v>
      </c>
      <c r="E62" s="202">
        <v>61</v>
      </c>
      <c r="F62" s="202" t="s">
        <v>169</v>
      </c>
      <c r="G62" s="203" t="s">
        <v>52</v>
      </c>
      <c r="H62" s="202" t="s">
        <v>170</v>
      </c>
      <c r="I62" s="202"/>
      <c r="J62" s="202"/>
      <c r="K62" s="202"/>
      <c r="L62" s="204"/>
      <c r="M62" s="202" t="s">
        <v>31</v>
      </c>
      <c r="N62" s="202"/>
      <c r="O62" s="202"/>
      <c r="P62" s="202"/>
      <c r="Q62" s="203"/>
      <c r="R62" s="205"/>
      <c r="S62" s="203"/>
      <c r="T62" s="202"/>
      <c r="U62" s="202"/>
      <c r="V62" s="202"/>
      <c r="W62" s="202"/>
      <c r="X62" s="202"/>
      <c r="Y62" s="202" t="s">
        <v>33</v>
      </c>
      <c r="Z62" s="202"/>
      <c r="AB62" s="201"/>
      <c r="AC62" s="208"/>
      <c r="AD62" s="209"/>
      <c r="AE62" s="209"/>
      <c r="AF62" s="209"/>
      <c r="AG62" s="209"/>
      <c r="AH62" s="209"/>
      <c r="AI62" s="209"/>
      <c r="AJ62" s="209"/>
      <c r="AK62" s="209"/>
    </row>
    <row r="63" spans="1:37" ht="21" customHeight="1">
      <c r="A63" s="244" t="s">
        <v>162</v>
      </c>
      <c r="B63" s="202" t="s">
        <v>75</v>
      </c>
      <c r="C63" s="202" t="s">
        <v>27</v>
      </c>
      <c r="D63" s="271">
        <v>62</v>
      </c>
      <c r="E63" s="202">
        <v>62</v>
      </c>
      <c r="F63" s="202" t="s">
        <v>171</v>
      </c>
      <c r="G63" s="203"/>
      <c r="H63" s="202"/>
      <c r="I63" s="202"/>
      <c r="J63" s="202"/>
      <c r="K63" s="202" t="s">
        <v>30</v>
      </c>
      <c r="L63" s="204"/>
      <c r="M63" s="202"/>
      <c r="N63" s="202"/>
      <c r="O63" s="202"/>
      <c r="P63" s="202"/>
      <c r="Q63" s="203"/>
      <c r="R63" s="205"/>
      <c r="S63" s="203"/>
      <c r="T63" s="210"/>
      <c r="U63" s="202"/>
      <c r="V63" s="202"/>
      <c r="W63" s="202" t="s">
        <v>54</v>
      </c>
      <c r="X63" s="202"/>
      <c r="Y63" s="202"/>
      <c r="Z63" s="202"/>
      <c r="AB63" s="201"/>
      <c r="AC63" s="208"/>
      <c r="AD63" s="209"/>
      <c r="AE63" s="209"/>
      <c r="AF63" s="209"/>
      <c r="AG63" s="209"/>
      <c r="AH63" s="209"/>
      <c r="AI63" s="209"/>
      <c r="AJ63" s="209"/>
      <c r="AK63" s="209"/>
    </row>
    <row r="64" spans="1:37" ht="21" customHeight="1">
      <c r="A64" s="244" t="s">
        <v>162</v>
      </c>
      <c r="B64" s="202" t="s">
        <v>50</v>
      </c>
      <c r="C64" s="202" t="s">
        <v>27</v>
      </c>
      <c r="D64" s="271">
        <v>63</v>
      </c>
      <c r="E64" s="202">
        <v>63</v>
      </c>
      <c r="F64" s="202" t="s">
        <v>172</v>
      </c>
      <c r="G64" s="203" t="s">
        <v>52</v>
      </c>
      <c r="H64" s="202" t="s">
        <v>173</v>
      </c>
      <c r="I64" s="203" t="s">
        <v>30</v>
      </c>
      <c r="J64" s="202" t="s">
        <v>31</v>
      </c>
      <c r="K64" s="202" t="s">
        <v>30</v>
      </c>
      <c r="L64" s="204" t="s">
        <v>30</v>
      </c>
      <c r="M64" s="202" t="s">
        <v>31</v>
      </c>
      <c r="N64" s="202" t="s">
        <v>53</v>
      </c>
      <c r="O64" s="202"/>
      <c r="P64" s="202"/>
      <c r="Q64" s="203"/>
      <c r="R64" s="205"/>
      <c r="S64" s="203"/>
      <c r="T64" s="202"/>
      <c r="U64" s="202" t="s">
        <v>48</v>
      </c>
      <c r="V64" s="202" t="s">
        <v>32</v>
      </c>
      <c r="W64" s="202" t="s">
        <v>54</v>
      </c>
      <c r="X64" s="202" t="s">
        <v>49</v>
      </c>
      <c r="Y64" s="202" t="s">
        <v>33</v>
      </c>
      <c r="Z64" s="202" t="s">
        <v>55</v>
      </c>
      <c r="AB64" s="201"/>
      <c r="AC64" s="208"/>
      <c r="AD64" s="209"/>
      <c r="AE64" s="209"/>
      <c r="AF64" s="209"/>
      <c r="AG64" s="209"/>
      <c r="AH64" s="209"/>
      <c r="AI64" s="209"/>
      <c r="AJ64" s="209"/>
      <c r="AK64" s="209"/>
    </row>
    <row r="65" spans="1:37" ht="21" customHeight="1">
      <c r="A65" s="244" t="s">
        <v>162</v>
      </c>
      <c r="B65" s="202" t="s">
        <v>73</v>
      </c>
      <c r="C65" s="202" t="s">
        <v>27</v>
      </c>
      <c r="D65" s="271">
        <v>64</v>
      </c>
      <c r="E65" s="202">
        <v>64</v>
      </c>
      <c r="F65" s="202" t="s">
        <v>174</v>
      </c>
      <c r="G65" s="203"/>
      <c r="H65" s="202"/>
      <c r="I65" s="202"/>
      <c r="J65" s="202" t="s">
        <v>31</v>
      </c>
      <c r="K65" s="202"/>
      <c r="L65" s="204"/>
      <c r="M65" s="202"/>
      <c r="N65" s="202"/>
      <c r="O65" s="202"/>
      <c r="P65" s="202"/>
      <c r="Q65" s="203"/>
      <c r="R65" s="205"/>
      <c r="S65" s="203"/>
      <c r="T65" s="210"/>
      <c r="U65" s="202"/>
      <c r="V65" s="202" t="s">
        <v>32</v>
      </c>
      <c r="W65" s="202"/>
      <c r="X65" s="202"/>
      <c r="Y65" s="202"/>
      <c r="Z65" s="202"/>
      <c r="AB65" s="201"/>
      <c r="AC65" s="208"/>
      <c r="AD65" s="209"/>
      <c r="AE65" s="209"/>
      <c r="AF65" s="209"/>
      <c r="AG65" s="209"/>
      <c r="AH65" s="209"/>
      <c r="AI65" s="209"/>
      <c r="AJ65" s="209"/>
      <c r="AK65" s="209"/>
    </row>
    <row r="66" spans="1:37" ht="21" customHeight="1">
      <c r="A66" s="244" t="s">
        <v>162</v>
      </c>
      <c r="B66" s="202" t="s">
        <v>98</v>
      </c>
      <c r="C66" s="202" t="s">
        <v>27</v>
      </c>
      <c r="D66" s="271">
        <v>65</v>
      </c>
      <c r="E66" s="202">
        <v>65</v>
      </c>
      <c r="F66" s="202" t="s">
        <v>175</v>
      </c>
      <c r="G66" s="203"/>
      <c r="H66" s="202" t="s">
        <v>176</v>
      </c>
      <c r="I66" s="202"/>
      <c r="J66" s="202"/>
      <c r="K66" s="202" t="s">
        <v>30</v>
      </c>
      <c r="L66" s="204"/>
      <c r="M66" s="202"/>
      <c r="N66" s="202"/>
      <c r="O66" s="202"/>
      <c r="P66" s="202"/>
      <c r="Q66" s="203"/>
      <c r="R66" s="205"/>
      <c r="S66" s="203"/>
      <c r="T66" s="210" t="s">
        <v>177</v>
      </c>
      <c r="U66" s="202"/>
      <c r="V66" s="202"/>
      <c r="W66" s="202" t="s">
        <v>54</v>
      </c>
      <c r="X66" s="202"/>
      <c r="Y66" s="202"/>
      <c r="Z66" s="202"/>
      <c r="AB66" s="201"/>
      <c r="AC66" s="208"/>
      <c r="AD66" s="209"/>
      <c r="AE66" s="209"/>
      <c r="AF66" s="209"/>
      <c r="AG66" s="209"/>
      <c r="AH66" s="209"/>
      <c r="AI66" s="209"/>
      <c r="AJ66" s="209"/>
      <c r="AK66" s="209"/>
    </row>
    <row r="67" spans="1:37" ht="21" customHeight="1">
      <c r="A67" s="244" t="s">
        <v>162</v>
      </c>
      <c r="B67" s="202" t="s">
        <v>98</v>
      </c>
      <c r="C67" s="202" t="s">
        <v>27</v>
      </c>
      <c r="D67" s="271">
        <v>66</v>
      </c>
      <c r="E67" s="202">
        <v>66</v>
      </c>
      <c r="F67" s="202" t="s">
        <v>178</v>
      </c>
      <c r="G67" s="203"/>
      <c r="H67" s="202"/>
      <c r="I67" s="202"/>
      <c r="J67" s="202"/>
      <c r="K67" s="202"/>
      <c r="L67" s="204" t="s">
        <v>31</v>
      </c>
      <c r="M67" s="202"/>
      <c r="N67" s="202"/>
      <c r="O67" s="202"/>
      <c r="P67" s="202"/>
      <c r="Q67" s="203"/>
      <c r="R67" s="205"/>
      <c r="S67" s="203"/>
      <c r="T67" s="210"/>
      <c r="U67" s="202"/>
      <c r="V67" s="202"/>
      <c r="W67" s="202" t="s">
        <v>54</v>
      </c>
      <c r="X67" s="202" t="s">
        <v>49</v>
      </c>
      <c r="Y67" s="202"/>
      <c r="Z67" s="202"/>
      <c r="AB67" s="201"/>
      <c r="AC67" s="207"/>
      <c r="AE67" s="201"/>
    </row>
    <row r="68" spans="1:37" ht="21" customHeight="1">
      <c r="A68" s="244" t="s">
        <v>162</v>
      </c>
      <c r="B68" s="202" t="s">
        <v>73</v>
      </c>
      <c r="C68" s="202" t="s">
        <v>27</v>
      </c>
      <c r="D68" s="271">
        <v>67</v>
      </c>
      <c r="E68" s="202">
        <v>67</v>
      </c>
      <c r="F68" s="202" t="s">
        <v>179</v>
      </c>
      <c r="G68" s="203"/>
      <c r="H68" s="202"/>
      <c r="I68" s="202"/>
      <c r="J68" s="202"/>
      <c r="K68" s="202" t="s">
        <v>30</v>
      </c>
      <c r="L68" s="204"/>
      <c r="M68" s="202"/>
      <c r="N68" s="202"/>
      <c r="O68" s="202"/>
      <c r="P68" s="202"/>
      <c r="Q68" s="203"/>
      <c r="R68" s="205"/>
      <c r="S68" s="203"/>
      <c r="T68" s="210"/>
      <c r="U68" s="202"/>
      <c r="V68" s="202"/>
      <c r="W68" s="202" t="s">
        <v>54</v>
      </c>
      <c r="X68" s="202"/>
      <c r="Y68" s="202"/>
      <c r="Z68" s="202"/>
      <c r="AB68" s="201"/>
      <c r="AC68" s="207"/>
      <c r="AE68" s="201"/>
    </row>
    <row r="69" spans="1:37" ht="21" customHeight="1">
      <c r="A69" s="244" t="s">
        <v>162</v>
      </c>
      <c r="B69" s="202" t="s">
        <v>73</v>
      </c>
      <c r="C69" s="202" t="s">
        <v>27</v>
      </c>
      <c r="D69" s="271">
        <v>68</v>
      </c>
      <c r="E69" s="202">
        <v>68</v>
      </c>
      <c r="F69" s="202" t="s">
        <v>180</v>
      </c>
      <c r="G69" s="203"/>
      <c r="H69" s="202"/>
      <c r="I69" s="202"/>
      <c r="J69" s="202" t="s">
        <v>30</v>
      </c>
      <c r="K69" s="202"/>
      <c r="L69" s="204"/>
      <c r="M69" s="202" t="s">
        <v>30</v>
      </c>
      <c r="N69" s="202"/>
      <c r="O69" s="202"/>
      <c r="P69" s="202" t="s">
        <v>14</v>
      </c>
      <c r="Q69" s="203"/>
      <c r="R69" s="205"/>
      <c r="S69" s="203"/>
      <c r="T69" s="210"/>
      <c r="U69" s="202"/>
      <c r="V69" s="202" t="s">
        <v>32</v>
      </c>
      <c r="W69" s="202"/>
      <c r="X69" s="202"/>
      <c r="Y69" s="202" t="s">
        <v>33</v>
      </c>
      <c r="Z69" s="202"/>
      <c r="AB69" s="201"/>
      <c r="AC69" s="207"/>
      <c r="AE69" s="201"/>
    </row>
    <row r="70" spans="1:37" ht="21" customHeight="1">
      <c r="A70" s="244" t="s">
        <v>162</v>
      </c>
      <c r="B70" s="202" t="s">
        <v>95</v>
      </c>
      <c r="C70" s="202" t="s">
        <v>27</v>
      </c>
      <c r="D70" s="271">
        <v>69</v>
      </c>
      <c r="E70" s="202">
        <v>69</v>
      </c>
      <c r="F70" s="202" t="s">
        <v>181</v>
      </c>
      <c r="G70" s="203"/>
      <c r="H70" s="202" t="s">
        <v>182</v>
      </c>
      <c r="I70" s="202"/>
      <c r="J70" s="202" t="s">
        <v>30</v>
      </c>
      <c r="K70" s="202"/>
      <c r="L70" s="204"/>
      <c r="M70" s="202" t="s">
        <v>30</v>
      </c>
      <c r="N70" s="202"/>
      <c r="O70" s="202"/>
      <c r="P70" s="202" t="s">
        <v>14</v>
      </c>
      <c r="Q70" s="203"/>
      <c r="R70" s="205"/>
      <c r="S70" s="203"/>
      <c r="T70" s="210"/>
      <c r="U70" s="202"/>
      <c r="V70" s="202" t="s">
        <v>32</v>
      </c>
      <c r="W70" s="202"/>
      <c r="X70" s="202"/>
      <c r="Y70" s="202" t="s">
        <v>33</v>
      </c>
      <c r="Z70" s="202"/>
      <c r="AB70" s="201"/>
      <c r="AC70" s="207"/>
      <c r="AE70" s="201"/>
    </row>
    <row r="71" spans="1:37" ht="21" customHeight="1">
      <c r="A71" s="244" t="s">
        <v>162</v>
      </c>
      <c r="B71" s="202" t="s">
        <v>75</v>
      </c>
      <c r="C71" s="202" t="s">
        <v>27</v>
      </c>
      <c r="D71" s="271">
        <v>70</v>
      </c>
      <c r="E71" s="202">
        <v>70</v>
      </c>
      <c r="F71" s="202" t="s">
        <v>183</v>
      </c>
      <c r="G71" s="203"/>
      <c r="H71" s="202" t="s">
        <v>184</v>
      </c>
      <c r="I71" s="202"/>
      <c r="J71" s="202" t="s">
        <v>30</v>
      </c>
      <c r="K71" s="202"/>
      <c r="L71" s="204"/>
      <c r="M71" s="202" t="s">
        <v>30</v>
      </c>
      <c r="N71" s="202"/>
      <c r="O71" s="202"/>
      <c r="P71" s="202" t="s">
        <v>14</v>
      </c>
      <c r="Q71" s="203"/>
      <c r="R71" s="205" t="s">
        <v>185</v>
      </c>
      <c r="S71" s="203"/>
      <c r="T71" s="210"/>
      <c r="U71" s="202"/>
      <c r="V71" s="202" t="s">
        <v>32</v>
      </c>
      <c r="W71" s="202"/>
      <c r="X71" s="202"/>
      <c r="Y71" s="202" t="s">
        <v>33</v>
      </c>
      <c r="Z71" s="202"/>
      <c r="AB71" s="201"/>
      <c r="AC71" s="207"/>
      <c r="AE71" s="201"/>
    </row>
    <row r="72" spans="1:37" ht="21" customHeight="1">
      <c r="A72" s="244" t="s">
        <v>162</v>
      </c>
      <c r="B72" s="202" t="s">
        <v>50</v>
      </c>
      <c r="C72" s="202" t="s">
        <v>27</v>
      </c>
      <c r="D72" s="271">
        <v>71</v>
      </c>
      <c r="E72" s="202">
        <v>71</v>
      </c>
      <c r="F72" s="202" t="s">
        <v>186</v>
      </c>
      <c r="G72" s="203"/>
      <c r="H72" s="202" t="s">
        <v>187</v>
      </c>
      <c r="I72" s="202"/>
      <c r="J72" s="202" t="s">
        <v>30</v>
      </c>
      <c r="K72" s="202"/>
      <c r="L72" s="204"/>
      <c r="M72" s="202" t="s">
        <v>30</v>
      </c>
      <c r="N72" s="202"/>
      <c r="O72" s="202"/>
      <c r="P72" s="202"/>
      <c r="Q72" s="203"/>
      <c r="R72" s="205" t="s">
        <v>188</v>
      </c>
      <c r="S72" s="203"/>
      <c r="T72" s="210" t="s">
        <v>142</v>
      </c>
      <c r="U72" s="202"/>
      <c r="V72" s="202" t="s">
        <v>32</v>
      </c>
      <c r="W72" s="202"/>
      <c r="X72" s="202"/>
      <c r="Y72" s="202" t="s">
        <v>33</v>
      </c>
      <c r="Z72" s="202"/>
      <c r="AB72" s="201"/>
      <c r="AC72" s="207"/>
      <c r="AE72" s="201"/>
    </row>
    <row r="73" spans="1:37" ht="21" customHeight="1">
      <c r="A73" s="244" t="s">
        <v>162</v>
      </c>
      <c r="B73" s="202" t="s">
        <v>73</v>
      </c>
      <c r="C73" s="202" t="s">
        <v>27</v>
      </c>
      <c r="D73" s="271">
        <v>72</v>
      </c>
      <c r="E73" s="202">
        <v>72</v>
      </c>
      <c r="F73" s="202" t="s">
        <v>189</v>
      </c>
      <c r="G73" s="203"/>
      <c r="H73" s="202" t="s">
        <v>190</v>
      </c>
      <c r="I73" s="202"/>
      <c r="J73" s="202" t="s">
        <v>30</v>
      </c>
      <c r="K73" s="202"/>
      <c r="L73" s="204"/>
      <c r="M73" s="202" t="s">
        <v>30</v>
      </c>
      <c r="N73" s="202"/>
      <c r="O73" s="202"/>
      <c r="P73" s="202"/>
      <c r="Q73" s="203"/>
      <c r="R73" s="205"/>
      <c r="S73" s="203"/>
      <c r="T73" s="202" t="s">
        <v>130</v>
      </c>
      <c r="U73" s="202"/>
      <c r="V73" s="202" t="s">
        <v>32</v>
      </c>
      <c r="W73" s="202"/>
      <c r="X73" s="202"/>
      <c r="Y73" s="202" t="s">
        <v>33</v>
      </c>
      <c r="Z73" s="202"/>
      <c r="AB73" s="201"/>
      <c r="AC73" s="207"/>
      <c r="AE73" s="201"/>
    </row>
    <row r="74" spans="1:37" ht="21" customHeight="1">
      <c r="A74" s="244" t="s">
        <v>162</v>
      </c>
      <c r="B74" s="202" t="s">
        <v>50</v>
      </c>
      <c r="C74" s="202" t="s">
        <v>27</v>
      </c>
      <c r="D74" s="271">
        <v>73</v>
      </c>
      <c r="E74" s="202">
        <v>73</v>
      </c>
      <c r="F74" s="202" t="s">
        <v>191</v>
      </c>
      <c r="G74" s="203"/>
      <c r="H74" s="202" t="s">
        <v>192</v>
      </c>
      <c r="I74" s="202"/>
      <c r="J74" s="202" t="s">
        <v>30</v>
      </c>
      <c r="K74" s="202"/>
      <c r="L74" s="204"/>
      <c r="M74" s="202" t="s">
        <v>30</v>
      </c>
      <c r="N74" s="202"/>
      <c r="O74" s="202"/>
      <c r="P74" s="202"/>
      <c r="Q74" s="203"/>
      <c r="R74" s="205"/>
      <c r="S74" s="203"/>
      <c r="T74" s="210"/>
      <c r="U74" s="202"/>
      <c r="V74" s="202" t="s">
        <v>32</v>
      </c>
      <c r="W74" s="202"/>
      <c r="X74" s="202"/>
      <c r="Y74" s="202" t="s">
        <v>33</v>
      </c>
      <c r="Z74" s="202"/>
      <c r="AB74" s="201"/>
      <c r="AC74" s="207"/>
      <c r="AE74" s="201"/>
    </row>
    <row r="75" spans="1:37" ht="21" customHeight="1">
      <c r="A75" s="255" t="s">
        <v>193</v>
      </c>
      <c r="B75" s="202" t="s">
        <v>98</v>
      </c>
      <c r="C75" s="202" t="s">
        <v>27</v>
      </c>
      <c r="D75" s="272">
        <v>74</v>
      </c>
      <c r="E75" s="202">
        <v>74</v>
      </c>
      <c r="F75" s="202" t="s">
        <v>194</v>
      </c>
      <c r="G75" s="203"/>
      <c r="H75" s="202"/>
      <c r="I75" s="202"/>
      <c r="J75" s="202"/>
      <c r="K75" s="202"/>
      <c r="L75" s="204"/>
      <c r="M75" s="202"/>
      <c r="N75" s="202" t="s">
        <v>53</v>
      </c>
      <c r="O75" s="202"/>
      <c r="P75" s="202"/>
      <c r="Q75" s="203"/>
      <c r="R75" s="205" t="s">
        <v>195</v>
      </c>
      <c r="S75" s="203"/>
      <c r="T75" s="210"/>
      <c r="U75" s="202"/>
      <c r="V75" s="202"/>
      <c r="W75" s="202"/>
      <c r="X75" s="202"/>
      <c r="Y75" s="202"/>
      <c r="Z75" s="202" t="s">
        <v>55</v>
      </c>
      <c r="AB75" s="201"/>
      <c r="AC75" s="207"/>
      <c r="AE75" s="201"/>
    </row>
    <row r="76" spans="1:37" ht="21" customHeight="1">
      <c r="A76" s="255" t="s">
        <v>193</v>
      </c>
      <c r="B76" s="202" t="s">
        <v>98</v>
      </c>
      <c r="C76" s="202" t="s">
        <v>27</v>
      </c>
      <c r="D76" s="272">
        <v>75</v>
      </c>
      <c r="E76" s="202">
        <v>75</v>
      </c>
      <c r="F76" s="202" t="s">
        <v>196</v>
      </c>
      <c r="G76" s="203"/>
      <c r="H76" s="202" t="s">
        <v>197</v>
      </c>
      <c r="I76" s="202"/>
      <c r="J76" s="202" t="s">
        <v>30</v>
      </c>
      <c r="K76" s="202"/>
      <c r="L76" s="204"/>
      <c r="M76" s="202" t="s">
        <v>31</v>
      </c>
      <c r="N76" s="202"/>
      <c r="O76" s="202"/>
      <c r="P76" s="202"/>
      <c r="Q76" s="203"/>
      <c r="R76" s="205" t="s">
        <v>198</v>
      </c>
      <c r="S76" s="203"/>
      <c r="T76" s="210" t="s">
        <v>177</v>
      </c>
      <c r="U76" s="202"/>
      <c r="V76" s="202" t="s">
        <v>32</v>
      </c>
      <c r="W76" s="202"/>
      <c r="X76" s="202"/>
      <c r="Y76" s="202" t="s">
        <v>33</v>
      </c>
      <c r="Z76" s="202"/>
      <c r="AB76" s="201"/>
      <c r="AC76" s="207"/>
      <c r="AE76" s="201"/>
    </row>
    <row r="77" spans="1:37" ht="21" customHeight="1">
      <c r="A77" s="255" t="s">
        <v>193</v>
      </c>
      <c r="B77" s="202" t="s">
        <v>50</v>
      </c>
      <c r="C77" s="202" t="s">
        <v>27</v>
      </c>
      <c r="D77" s="272">
        <v>76</v>
      </c>
      <c r="E77" s="202">
        <v>76</v>
      </c>
      <c r="F77" s="202" t="s">
        <v>199</v>
      </c>
      <c r="G77" s="203" t="s">
        <v>52</v>
      </c>
      <c r="H77" s="202"/>
      <c r="I77" s="202" t="s">
        <v>31</v>
      </c>
      <c r="J77" s="202" t="s">
        <v>30</v>
      </c>
      <c r="K77" s="202" t="s">
        <v>30</v>
      </c>
      <c r="L77" s="204" t="s">
        <v>31</v>
      </c>
      <c r="M77" s="202" t="s">
        <v>31</v>
      </c>
      <c r="N77" s="202" t="s">
        <v>53</v>
      </c>
      <c r="O77" s="202"/>
      <c r="P77" s="202" t="s">
        <v>14</v>
      </c>
      <c r="Q77" s="203"/>
      <c r="R77" s="205"/>
      <c r="S77" s="203"/>
      <c r="T77" s="210"/>
      <c r="U77" s="202" t="s">
        <v>48</v>
      </c>
      <c r="V77" s="202" t="s">
        <v>32</v>
      </c>
      <c r="W77" s="202" t="s">
        <v>54</v>
      </c>
      <c r="X77" s="202" t="s">
        <v>49</v>
      </c>
      <c r="Y77" s="202" t="s">
        <v>33</v>
      </c>
      <c r="Z77" s="202" t="s">
        <v>55</v>
      </c>
      <c r="AB77" s="201"/>
      <c r="AC77" s="207"/>
      <c r="AE77" s="201"/>
    </row>
    <row r="78" spans="1:37" ht="21" customHeight="1">
      <c r="A78" s="255" t="s">
        <v>193</v>
      </c>
      <c r="B78" s="202" t="s">
        <v>26</v>
      </c>
      <c r="C78" s="202" t="s">
        <v>27</v>
      </c>
      <c r="D78" s="272">
        <v>77</v>
      </c>
      <c r="E78" s="202">
        <v>77</v>
      </c>
      <c r="F78" s="202" t="s">
        <v>200</v>
      </c>
      <c r="G78" s="203"/>
      <c r="H78" s="202"/>
      <c r="I78" s="215" t="s">
        <v>31</v>
      </c>
      <c r="J78" s="202"/>
      <c r="K78" s="202" t="s">
        <v>30</v>
      </c>
      <c r="L78" s="204"/>
      <c r="M78" s="202" t="s">
        <v>31</v>
      </c>
      <c r="N78" s="202"/>
      <c r="O78" s="202"/>
      <c r="P78" s="202"/>
      <c r="Q78" s="203"/>
      <c r="R78" s="205"/>
      <c r="S78" s="203"/>
      <c r="T78" s="210"/>
      <c r="U78" s="202"/>
      <c r="V78" s="202"/>
      <c r="W78" s="202" t="s">
        <v>54</v>
      </c>
      <c r="X78" s="202"/>
      <c r="Y78" s="202" t="s">
        <v>33</v>
      </c>
      <c r="Z78" s="202"/>
      <c r="AB78" s="201"/>
      <c r="AC78" s="207"/>
      <c r="AE78" s="201"/>
    </row>
    <row r="79" spans="1:37" ht="21" customHeight="1">
      <c r="A79" s="237" t="s">
        <v>201</v>
      </c>
      <c r="B79" s="202" t="s">
        <v>26</v>
      </c>
      <c r="C79" s="202" t="s">
        <v>27</v>
      </c>
      <c r="D79" s="273">
        <v>78</v>
      </c>
      <c r="E79" s="202">
        <v>78</v>
      </c>
      <c r="F79" s="202" t="s">
        <v>202</v>
      </c>
      <c r="G79" s="203" t="s">
        <v>104</v>
      </c>
      <c r="H79" s="202" t="s">
        <v>203</v>
      </c>
      <c r="I79" s="203" t="s">
        <v>31</v>
      </c>
      <c r="J79" s="202" t="s">
        <v>30</v>
      </c>
      <c r="K79" s="202" t="s">
        <v>30</v>
      </c>
      <c r="L79" s="204" t="s">
        <v>31</v>
      </c>
      <c r="M79" s="202" t="s">
        <v>31</v>
      </c>
      <c r="N79" s="202" t="s">
        <v>53</v>
      </c>
      <c r="O79" s="202"/>
      <c r="P79" s="202"/>
      <c r="Q79" s="203"/>
      <c r="R79" s="205"/>
      <c r="S79" s="203"/>
      <c r="T79" s="210"/>
      <c r="U79" s="202" t="s">
        <v>48</v>
      </c>
      <c r="V79" s="202" t="s">
        <v>32</v>
      </c>
      <c r="W79" s="202" t="s">
        <v>54</v>
      </c>
      <c r="X79" s="202" t="s">
        <v>49</v>
      </c>
      <c r="Y79" s="202" t="s">
        <v>33</v>
      </c>
      <c r="Z79" s="202" t="s">
        <v>55</v>
      </c>
      <c r="AB79" s="201"/>
      <c r="AC79" s="207"/>
      <c r="AE79" s="201"/>
    </row>
    <row r="80" spans="1:37" ht="21" customHeight="1">
      <c r="A80" s="255" t="s">
        <v>193</v>
      </c>
      <c r="B80" s="202" t="s">
        <v>50</v>
      </c>
      <c r="C80" s="202" t="s">
        <v>27</v>
      </c>
      <c r="D80" s="272">
        <v>79</v>
      </c>
      <c r="E80" s="202">
        <v>290</v>
      </c>
      <c r="F80" s="202" t="s">
        <v>776</v>
      </c>
      <c r="G80" s="203"/>
      <c r="H80" s="202"/>
      <c r="I80" s="202"/>
      <c r="J80" s="202" t="s">
        <v>777</v>
      </c>
      <c r="K80" s="202"/>
      <c r="L80" s="204"/>
      <c r="M80" s="202" t="s">
        <v>777</v>
      </c>
      <c r="N80" s="202"/>
      <c r="O80" s="202"/>
      <c r="P80" s="202"/>
      <c r="Q80" s="203"/>
      <c r="R80" s="205"/>
      <c r="S80" s="203"/>
      <c r="T80" s="210"/>
      <c r="U80" s="202"/>
      <c r="V80" s="202"/>
      <c r="W80" s="202"/>
      <c r="X80" s="202"/>
      <c r="Y80" s="202"/>
      <c r="Z80" s="202"/>
      <c r="AB80" s="201"/>
      <c r="AC80" s="207"/>
      <c r="AE80" s="201"/>
    </row>
    <row r="81" spans="1:31" ht="21" customHeight="1">
      <c r="A81" s="237" t="s">
        <v>201</v>
      </c>
      <c r="B81" s="202" t="s">
        <v>26</v>
      </c>
      <c r="C81" s="202" t="s">
        <v>27</v>
      </c>
      <c r="D81" s="273">
        <v>80</v>
      </c>
      <c r="E81" s="202">
        <v>79</v>
      </c>
      <c r="F81" s="202" t="s">
        <v>204</v>
      </c>
      <c r="G81" s="203" t="s">
        <v>104</v>
      </c>
      <c r="H81" s="202" t="s">
        <v>205</v>
      </c>
      <c r="I81" s="203" t="s">
        <v>31</v>
      </c>
      <c r="J81" s="202"/>
      <c r="K81" s="202" t="s">
        <v>30</v>
      </c>
      <c r="L81" s="204"/>
      <c r="M81" s="202" t="s">
        <v>31</v>
      </c>
      <c r="N81" s="202"/>
      <c r="O81" s="202"/>
      <c r="P81" s="202"/>
      <c r="Q81" s="203"/>
      <c r="R81" s="205"/>
      <c r="S81" s="203"/>
      <c r="T81" s="210"/>
      <c r="U81" s="202" t="s">
        <v>48</v>
      </c>
      <c r="V81" s="202"/>
      <c r="W81" s="202" t="s">
        <v>54</v>
      </c>
      <c r="X81" s="202"/>
      <c r="Y81" s="202" t="s">
        <v>33</v>
      </c>
      <c r="Z81" s="202"/>
      <c r="AB81" s="201"/>
      <c r="AC81" s="207"/>
      <c r="AE81" s="201"/>
    </row>
    <row r="82" spans="1:31" ht="21" customHeight="1">
      <c r="A82" s="237" t="s">
        <v>201</v>
      </c>
      <c r="B82" s="202" t="s">
        <v>26</v>
      </c>
      <c r="C82" s="202" t="s">
        <v>27</v>
      </c>
      <c r="D82" s="273">
        <v>81</v>
      </c>
      <c r="E82" s="202">
        <v>80</v>
      </c>
      <c r="F82" s="202" t="s">
        <v>206</v>
      </c>
      <c r="G82" s="203"/>
      <c r="H82" s="202" t="s">
        <v>207</v>
      </c>
      <c r="I82" s="203" t="s">
        <v>31</v>
      </c>
      <c r="J82" s="202" t="s">
        <v>30</v>
      </c>
      <c r="K82" s="202" t="s">
        <v>30</v>
      </c>
      <c r="L82" s="204" t="s">
        <v>31</v>
      </c>
      <c r="M82" s="202" t="s">
        <v>31</v>
      </c>
      <c r="N82" s="202" t="s">
        <v>53</v>
      </c>
      <c r="O82" s="202"/>
      <c r="P82" s="202"/>
      <c r="Q82" s="203"/>
      <c r="R82" s="205"/>
      <c r="S82" s="203"/>
      <c r="T82" s="210"/>
      <c r="U82" s="202" t="s">
        <v>48</v>
      </c>
      <c r="V82" s="202" t="s">
        <v>32</v>
      </c>
      <c r="W82" s="202" t="s">
        <v>54</v>
      </c>
      <c r="X82" s="202" t="s">
        <v>49</v>
      </c>
      <c r="Y82" s="202" t="s">
        <v>33</v>
      </c>
      <c r="Z82" s="202" t="s">
        <v>55</v>
      </c>
      <c r="AB82" s="201"/>
      <c r="AC82" s="207"/>
      <c r="AE82" s="201"/>
    </row>
    <row r="83" spans="1:31" ht="21" customHeight="1">
      <c r="A83" s="237" t="s">
        <v>201</v>
      </c>
      <c r="B83" s="202" t="s">
        <v>26</v>
      </c>
      <c r="C83" s="202" t="s">
        <v>27</v>
      </c>
      <c r="D83" s="273">
        <v>82</v>
      </c>
      <c r="E83" s="202">
        <v>81</v>
      </c>
      <c r="F83" s="202" t="s">
        <v>208</v>
      </c>
      <c r="G83" s="203"/>
      <c r="H83" s="202" t="s">
        <v>209</v>
      </c>
      <c r="I83" s="203" t="s">
        <v>31</v>
      </c>
      <c r="J83" s="202"/>
      <c r="K83" s="202"/>
      <c r="L83" s="204"/>
      <c r="M83" s="202" t="s">
        <v>31</v>
      </c>
      <c r="N83" s="202"/>
      <c r="O83" s="202"/>
      <c r="P83" s="202"/>
      <c r="Q83" s="203"/>
      <c r="R83" s="205"/>
      <c r="S83" s="203"/>
      <c r="T83" s="210" t="s">
        <v>210</v>
      </c>
      <c r="U83" s="202" t="s">
        <v>48</v>
      </c>
      <c r="V83" s="202"/>
      <c r="W83" s="202"/>
      <c r="X83" s="202"/>
      <c r="Y83" s="202" t="s">
        <v>33</v>
      </c>
      <c r="Z83" s="202"/>
      <c r="AB83" s="201"/>
      <c r="AC83" s="207"/>
      <c r="AE83" s="201"/>
    </row>
    <row r="84" spans="1:31" ht="21" customHeight="1">
      <c r="A84" s="238" t="s">
        <v>211</v>
      </c>
      <c r="B84" s="202" t="s">
        <v>50</v>
      </c>
      <c r="C84" s="202" t="s">
        <v>27</v>
      </c>
      <c r="D84" s="274">
        <v>83</v>
      </c>
      <c r="E84" s="202">
        <v>82</v>
      </c>
      <c r="F84" s="202" t="s">
        <v>212</v>
      </c>
      <c r="G84" s="203"/>
      <c r="H84" s="202" t="s">
        <v>213</v>
      </c>
      <c r="I84" s="202" t="s">
        <v>31</v>
      </c>
      <c r="J84" s="202"/>
      <c r="K84" s="202" t="s">
        <v>30</v>
      </c>
      <c r="L84" s="204"/>
      <c r="M84" s="202" t="s">
        <v>31</v>
      </c>
      <c r="N84" s="202"/>
      <c r="O84" s="202"/>
      <c r="P84" s="202" t="s">
        <v>14</v>
      </c>
      <c r="Q84" s="203"/>
      <c r="R84" s="205"/>
      <c r="S84" s="203"/>
      <c r="T84" s="210"/>
      <c r="U84" s="202" t="s">
        <v>48</v>
      </c>
      <c r="V84" s="202"/>
      <c r="W84" s="202" t="s">
        <v>54</v>
      </c>
      <c r="X84" s="202"/>
      <c r="Y84" s="202" t="s">
        <v>33</v>
      </c>
      <c r="Z84" s="202"/>
      <c r="AB84" s="201"/>
      <c r="AC84" s="207"/>
      <c r="AE84" s="201"/>
    </row>
    <row r="85" spans="1:31" ht="21" customHeight="1">
      <c r="A85" s="238" t="s">
        <v>211</v>
      </c>
      <c r="B85" s="202" t="s">
        <v>50</v>
      </c>
      <c r="C85" s="202" t="s">
        <v>27</v>
      </c>
      <c r="D85" s="274">
        <v>84</v>
      </c>
      <c r="E85" s="202">
        <v>83</v>
      </c>
      <c r="F85" s="202" t="s">
        <v>214</v>
      </c>
      <c r="G85" s="203"/>
      <c r="H85" s="202" t="s">
        <v>215</v>
      </c>
      <c r="I85" s="202" t="s">
        <v>31</v>
      </c>
      <c r="J85" s="202" t="s">
        <v>30</v>
      </c>
      <c r="K85" s="202" t="s">
        <v>30</v>
      </c>
      <c r="L85" s="204" t="s">
        <v>31</v>
      </c>
      <c r="M85" s="202" t="s">
        <v>31</v>
      </c>
      <c r="N85" s="202" t="s">
        <v>53</v>
      </c>
      <c r="O85" s="202"/>
      <c r="P85" s="202"/>
      <c r="Q85" s="203"/>
      <c r="R85" s="205"/>
      <c r="S85" s="203"/>
      <c r="T85" s="210"/>
      <c r="U85" s="202" t="s">
        <v>48</v>
      </c>
      <c r="V85" s="202" t="s">
        <v>32</v>
      </c>
      <c r="W85" s="202" t="s">
        <v>54</v>
      </c>
      <c r="X85" s="202" t="s">
        <v>49</v>
      </c>
      <c r="Y85" s="202" t="s">
        <v>33</v>
      </c>
      <c r="Z85" s="202" t="s">
        <v>55</v>
      </c>
      <c r="AB85" s="201"/>
      <c r="AC85" s="207"/>
      <c r="AE85" s="201"/>
    </row>
    <row r="86" spans="1:31" ht="21" customHeight="1">
      <c r="A86" s="238" t="s">
        <v>211</v>
      </c>
      <c r="B86" s="202" t="s">
        <v>50</v>
      </c>
      <c r="C86" s="202" t="s">
        <v>27</v>
      </c>
      <c r="D86" s="274">
        <v>85</v>
      </c>
      <c r="E86" s="202">
        <v>84</v>
      </c>
      <c r="F86" s="202" t="s">
        <v>216</v>
      </c>
      <c r="G86" s="203"/>
      <c r="H86" s="202" t="s">
        <v>217</v>
      </c>
      <c r="I86" s="202" t="s">
        <v>31</v>
      </c>
      <c r="J86" s="202" t="s">
        <v>30</v>
      </c>
      <c r="K86" s="202" t="s">
        <v>30</v>
      </c>
      <c r="L86" s="204" t="s">
        <v>31</v>
      </c>
      <c r="M86" s="202" t="s">
        <v>31</v>
      </c>
      <c r="N86" s="202"/>
      <c r="O86" s="202"/>
      <c r="P86" s="202" t="s">
        <v>14</v>
      </c>
      <c r="Q86" s="203"/>
      <c r="R86" s="205"/>
      <c r="S86" s="203"/>
      <c r="T86" s="210"/>
      <c r="U86" s="202" t="s">
        <v>48</v>
      </c>
      <c r="V86" s="202" t="s">
        <v>32</v>
      </c>
      <c r="W86" s="202" t="s">
        <v>54</v>
      </c>
      <c r="X86" s="202" t="s">
        <v>49</v>
      </c>
      <c r="Y86" s="202" t="s">
        <v>33</v>
      </c>
      <c r="Z86" s="202"/>
      <c r="AB86" s="201"/>
      <c r="AC86" s="207"/>
      <c r="AE86" s="201"/>
    </row>
    <row r="87" spans="1:31" ht="21" customHeight="1">
      <c r="A87" s="238" t="s">
        <v>211</v>
      </c>
      <c r="B87" s="202" t="s">
        <v>26</v>
      </c>
      <c r="C87" s="202" t="s">
        <v>27</v>
      </c>
      <c r="D87" s="274">
        <v>86</v>
      </c>
      <c r="E87" s="202">
        <v>85</v>
      </c>
      <c r="F87" s="202" t="s">
        <v>218</v>
      </c>
      <c r="G87" s="203"/>
      <c r="H87" s="202" t="s">
        <v>219</v>
      </c>
      <c r="I87" s="202" t="s">
        <v>31</v>
      </c>
      <c r="J87" s="202" t="s">
        <v>30</v>
      </c>
      <c r="K87" s="202"/>
      <c r="L87" s="204" t="s">
        <v>31</v>
      </c>
      <c r="M87" s="202" t="s">
        <v>31</v>
      </c>
      <c r="N87" s="202"/>
      <c r="O87" s="202"/>
      <c r="P87" s="202"/>
      <c r="Q87" s="203"/>
      <c r="R87" s="205"/>
      <c r="S87" s="203"/>
      <c r="T87" s="210"/>
      <c r="U87" s="202" t="s">
        <v>48</v>
      </c>
      <c r="V87" s="202" t="s">
        <v>32</v>
      </c>
      <c r="W87" s="202"/>
      <c r="X87" s="202" t="s">
        <v>49</v>
      </c>
      <c r="Y87" s="202" t="s">
        <v>33</v>
      </c>
      <c r="Z87" s="202"/>
      <c r="AB87" s="201"/>
      <c r="AC87" s="207"/>
      <c r="AE87" s="201"/>
    </row>
    <row r="88" spans="1:31" ht="21" customHeight="1">
      <c r="A88" s="238" t="s">
        <v>211</v>
      </c>
      <c r="B88" s="202" t="s">
        <v>26</v>
      </c>
      <c r="C88" s="202" t="s">
        <v>27</v>
      </c>
      <c r="D88" s="274">
        <v>87</v>
      </c>
      <c r="E88" s="202">
        <v>86</v>
      </c>
      <c r="F88" s="202" t="s">
        <v>220</v>
      </c>
      <c r="G88" s="203"/>
      <c r="H88" s="202"/>
      <c r="I88" s="202" t="s">
        <v>31</v>
      </c>
      <c r="J88" s="202" t="s">
        <v>30</v>
      </c>
      <c r="K88" s="202" t="s">
        <v>30</v>
      </c>
      <c r="L88" s="204" t="s">
        <v>31</v>
      </c>
      <c r="M88" s="202" t="s">
        <v>31</v>
      </c>
      <c r="N88" s="202"/>
      <c r="O88" s="202"/>
      <c r="P88" s="202"/>
      <c r="Q88" s="203"/>
      <c r="R88" s="205"/>
      <c r="S88" s="203"/>
      <c r="T88" s="210"/>
      <c r="U88" s="202" t="s">
        <v>48</v>
      </c>
      <c r="V88" s="202" t="s">
        <v>32</v>
      </c>
      <c r="W88" s="202" t="s">
        <v>54</v>
      </c>
      <c r="X88" s="202" t="s">
        <v>49</v>
      </c>
      <c r="Y88" s="202" t="s">
        <v>33</v>
      </c>
      <c r="Z88" s="202"/>
      <c r="AB88" s="201"/>
      <c r="AC88" s="207"/>
      <c r="AE88" s="201"/>
    </row>
    <row r="89" spans="1:31" ht="21" customHeight="1">
      <c r="A89" s="238" t="s">
        <v>211</v>
      </c>
      <c r="B89" s="202" t="s">
        <v>50</v>
      </c>
      <c r="C89" s="202" t="s">
        <v>27</v>
      </c>
      <c r="D89" s="274">
        <v>88</v>
      </c>
      <c r="E89" s="202">
        <v>87</v>
      </c>
      <c r="F89" s="202" t="s">
        <v>221</v>
      </c>
      <c r="G89" s="203"/>
      <c r="H89" s="202" t="s">
        <v>222</v>
      </c>
      <c r="I89" s="202" t="s">
        <v>31</v>
      </c>
      <c r="J89" s="202" t="s">
        <v>30</v>
      </c>
      <c r="K89" s="202" t="s">
        <v>30</v>
      </c>
      <c r="L89" s="204" t="s">
        <v>31</v>
      </c>
      <c r="M89" s="202" t="s">
        <v>31</v>
      </c>
      <c r="N89" s="202"/>
      <c r="O89" s="202"/>
      <c r="P89" s="202" t="s">
        <v>14</v>
      </c>
      <c r="Q89" s="203"/>
      <c r="R89" s="205"/>
      <c r="S89" s="203"/>
      <c r="T89" s="210"/>
      <c r="U89" s="202" t="s">
        <v>48</v>
      </c>
      <c r="V89" s="202" t="s">
        <v>32</v>
      </c>
      <c r="W89" s="202" t="s">
        <v>54</v>
      </c>
      <c r="X89" s="202" t="s">
        <v>49</v>
      </c>
      <c r="Y89" s="202" t="s">
        <v>33</v>
      </c>
      <c r="Z89" s="202"/>
      <c r="AB89" s="201"/>
      <c r="AC89" s="207"/>
      <c r="AE89" s="201"/>
    </row>
    <row r="90" spans="1:31" ht="21" customHeight="1">
      <c r="A90" s="238" t="s">
        <v>211</v>
      </c>
      <c r="B90" s="202" t="s">
        <v>26</v>
      </c>
      <c r="C90" s="202" t="s">
        <v>27</v>
      </c>
      <c r="D90" s="274">
        <v>89</v>
      </c>
      <c r="E90" s="202">
        <v>88</v>
      </c>
      <c r="F90" s="202" t="s">
        <v>223</v>
      </c>
      <c r="G90" s="203"/>
      <c r="H90" s="202"/>
      <c r="I90" s="202" t="s">
        <v>31</v>
      </c>
      <c r="J90" s="202"/>
      <c r="K90" s="202" t="s">
        <v>30</v>
      </c>
      <c r="L90" s="204"/>
      <c r="M90" s="202" t="s">
        <v>31</v>
      </c>
      <c r="N90" s="202"/>
      <c r="O90" s="202"/>
      <c r="P90" s="202" t="s">
        <v>14</v>
      </c>
      <c r="Q90" s="203"/>
      <c r="R90" s="205"/>
      <c r="S90" s="203"/>
      <c r="T90" s="210"/>
      <c r="U90" s="202"/>
      <c r="V90" s="202"/>
      <c r="W90" s="202" t="s">
        <v>54</v>
      </c>
      <c r="X90" s="202"/>
      <c r="Y90" s="202" t="s">
        <v>33</v>
      </c>
      <c r="Z90" s="202"/>
      <c r="AB90" s="201"/>
      <c r="AC90" s="207"/>
      <c r="AE90" s="201"/>
    </row>
    <row r="91" spans="1:31" ht="21" customHeight="1">
      <c r="A91" s="253" t="s">
        <v>224</v>
      </c>
      <c r="B91" s="202" t="s">
        <v>34</v>
      </c>
      <c r="C91" s="202" t="s">
        <v>27</v>
      </c>
      <c r="D91" s="275">
        <v>90</v>
      </c>
      <c r="E91" s="202">
        <v>89</v>
      </c>
      <c r="F91" s="202" t="s">
        <v>225</v>
      </c>
      <c r="G91" s="203"/>
      <c r="H91" s="202" t="s">
        <v>184</v>
      </c>
      <c r="I91" s="202"/>
      <c r="J91" s="202" t="s">
        <v>30</v>
      </c>
      <c r="K91" s="202"/>
      <c r="L91" s="204"/>
      <c r="M91" s="202" t="s">
        <v>31</v>
      </c>
      <c r="N91" s="202"/>
      <c r="O91" s="202"/>
      <c r="P91" s="202"/>
      <c r="Q91" s="203"/>
      <c r="R91" s="205" t="s">
        <v>226</v>
      </c>
      <c r="S91" s="203"/>
      <c r="T91" s="210"/>
      <c r="U91" s="202"/>
      <c r="V91" s="202" t="s">
        <v>32</v>
      </c>
      <c r="W91" s="202"/>
      <c r="X91" s="202"/>
      <c r="Y91" s="202" t="s">
        <v>33</v>
      </c>
      <c r="Z91" s="202"/>
      <c r="AB91" s="201"/>
      <c r="AC91" s="207"/>
      <c r="AE91" s="201"/>
    </row>
    <row r="92" spans="1:31" ht="21" customHeight="1">
      <c r="A92" s="253" t="s">
        <v>224</v>
      </c>
      <c r="B92" s="202" t="s">
        <v>79</v>
      </c>
      <c r="C92" s="202" t="s">
        <v>27</v>
      </c>
      <c r="D92" s="275">
        <v>91</v>
      </c>
      <c r="E92" s="202">
        <v>90</v>
      </c>
      <c r="F92" s="202" t="s">
        <v>227</v>
      </c>
      <c r="G92" s="203" t="s">
        <v>52</v>
      </c>
      <c r="H92" s="202"/>
      <c r="I92" s="202"/>
      <c r="J92" s="202" t="s">
        <v>30</v>
      </c>
      <c r="K92" s="202"/>
      <c r="L92" s="204"/>
      <c r="M92" s="202" t="s">
        <v>31</v>
      </c>
      <c r="N92" s="202"/>
      <c r="O92" s="202"/>
      <c r="P92" s="202"/>
      <c r="Q92" s="203"/>
      <c r="R92" s="205"/>
      <c r="S92" s="203"/>
      <c r="T92" s="210"/>
      <c r="U92" s="202"/>
      <c r="V92" s="202" t="s">
        <v>32</v>
      </c>
      <c r="W92" s="202"/>
      <c r="X92" s="202"/>
      <c r="Y92" s="202" t="s">
        <v>33</v>
      </c>
      <c r="Z92" s="202"/>
      <c r="AB92" s="201"/>
      <c r="AC92" s="207"/>
      <c r="AE92" s="201"/>
    </row>
    <row r="93" spans="1:31" ht="21" customHeight="1">
      <c r="A93" s="253" t="s">
        <v>224</v>
      </c>
      <c r="B93" s="202" t="s">
        <v>50</v>
      </c>
      <c r="C93" s="202" t="s">
        <v>27</v>
      </c>
      <c r="D93" s="275">
        <v>92</v>
      </c>
      <c r="E93" s="202">
        <v>91</v>
      </c>
      <c r="F93" s="202" t="s">
        <v>228</v>
      </c>
      <c r="G93" s="203"/>
      <c r="H93" s="202"/>
      <c r="I93" s="202" t="s">
        <v>31</v>
      </c>
      <c r="J93" s="202"/>
      <c r="K93" s="202"/>
      <c r="L93" s="204" t="s">
        <v>31</v>
      </c>
      <c r="M93" s="202"/>
      <c r="N93" s="202"/>
      <c r="O93" s="202"/>
      <c r="P93" s="202"/>
      <c r="Q93" s="203"/>
      <c r="R93" s="205"/>
      <c r="S93" s="203"/>
      <c r="T93" s="210"/>
      <c r="U93" s="202"/>
      <c r="V93" s="202"/>
      <c r="W93" s="202"/>
      <c r="X93" s="202" t="s">
        <v>49</v>
      </c>
      <c r="Y93" s="202"/>
      <c r="Z93" s="202"/>
      <c r="AB93" s="201"/>
      <c r="AC93" s="207"/>
      <c r="AE93" s="201"/>
    </row>
    <row r="94" spans="1:31" ht="21" customHeight="1">
      <c r="A94" s="253" t="s">
        <v>224</v>
      </c>
      <c r="B94" s="202" t="s">
        <v>79</v>
      </c>
      <c r="C94" s="202" t="s">
        <v>27</v>
      </c>
      <c r="D94" s="275">
        <v>93</v>
      </c>
      <c r="E94" s="202">
        <v>92</v>
      </c>
      <c r="F94" s="202" t="s">
        <v>229</v>
      </c>
      <c r="G94" s="203"/>
      <c r="H94" s="202"/>
      <c r="I94" s="202" t="s">
        <v>31</v>
      </c>
      <c r="J94" s="202"/>
      <c r="K94" s="202"/>
      <c r="L94" s="204" t="s">
        <v>31</v>
      </c>
      <c r="M94" s="202"/>
      <c r="N94" s="202"/>
      <c r="O94" s="202"/>
      <c r="P94" s="202"/>
      <c r="Q94" s="203"/>
      <c r="R94" s="205"/>
      <c r="S94" s="203"/>
      <c r="T94" s="210"/>
      <c r="U94" s="202"/>
      <c r="V94" s="202"/>
      <c r="W94" s="202"/>
      <c r="X94" s="202" t="s">
        <v>49</v>
      </c>
      <c r="Y94" s="202"/>
      <c r="Z94" s="202"/>
      <c r="AB94" s="201"/>
      <c r="AC94" s="207"/>
      <c r="AE94" s="201"/>
    </row>
    <row r="95" spans="1:31" ht="21" customHeight="1">
      <c r="A95" s="253" t="s">
        <v>224</v>
      </c>
      <c r="B95" s="202" t="s">
        <v>75</v>
      </c>
      <c r="C95" s="202" t="s">
        <v>27</v>
      </c>
      <c r="D95" s="275">
        <v>94</v>
      </c>
      <c r="E95" s="202">
        <v>93</v>
      </c>
      <c r="F95" s="202" t="s">
        <v>230</v>
      </c>
      <c r="G95" s="203"/>
      <c r="H95" s="202"/>
      <c r="I95" s="202"/>
      <c r="J95" s="202" t="s">
        <v>30</v>
      </c>
      <c r="K95" s="202"/>
      <c r="L95" s="204"/>
      <c r="M95" s="202" t="s">
        <v>30</v>
      </c>
      <c r="N95" s="202"/>
      <c r="O95" s="202"/>
      <c r="P95" s="202"/>
      <c r="Q95" s="203"/>
      <c r="R95" s="205"/>
      <c r="S95" s="203"/>
      <c r="T95" s="210"/>
      <c r="U95" s="202"/>
      <c r="V95" s="202" t="s">
        <v>32</v>
      </c>
      <c r="W95" s="202"/>
      <c r="X95" s="202"/>
      <c r="Y95" s="202" t="s">
        <v>33</v>
      </c>
      <c r="Z95" s="202"/>
      <c r="AB95" s="201"/>
      <c r="AC95" s="207"/>
      <c r="AE95" s="201"/>
    </row>
    <row r="96" spans="1:31" ht="21" customHeight="1">
      <c r="A96" s="253" t="s">
        <v>224</v>
      </c>
      <c r="B96" s="202" t="s">
        <v>73</v>
      </c>
      <c r="C96" s="202" t="s">
        <v>27</v>
      </c>
      <c r="D96" s="275">
        <v>95</v>
      </c>
      <c r="E96" s="202">
        <v>94</v>
      </c>
      <c r="F96" s="202" t="s">
        <v>231</v>
      </c>
      <c r="G96" s="203" t="s">
        <v>52</v>
      </c>
      <c r="H96" s="202" t="s">
        <v>232</v>
      </c>
      <c r="I96" s="202"/>
      <c r="J96" s="202"/>
      <c r="K96" s="202"/>
      <c r="L96" s="204" t="s">
        <v>31</v>
      </c>
      <c r="M96" s="202"/>
      <c r="N96" s="202"/>
      <c r="O96" s="202"/>
      <c r="P96" s="202"/>
      <c r="Q96" s="203"/>
      <c r="R96" s="205"/>
      <c r="S96" s="203"/>
      <c r="T96" s="210"/>
      <c r="U96" s="202"/>
      <c r="V96" s="202"/>
      <c r="W96" s="202"/>
      <c r="X96" s="202" t="s">
        <v>49</v>
      </c>
      <c r="Y96" s="202"/>
      <c r="Z96" s="202"/>
      <c r="AB96" s="201"/>
      <c r="AC96" s="207"/>
      <c r="AE96" s="201"/>
    </row>
    <row r="97" spans="1:37" ht="21" customHeight="1">
      <c r="A97" s="253" t="s">
        <v>224</v>
      </c>
      <c r="B97" s="202" t="s">
        <v>98</v>
      </c>
      <c r="C97" s="202" t="s">
        <v>27</v>
      </c>
      <c r="D97" s="275">
        <v>96</v>
      </c>
      <c r="E97" s="202">
        <v>95</v>
      </c>
      <c r="F97" s="202" t="s">
        <v>233</v>
      </c>
      <c r="G97" s="203"/>
      <c r="H97" s="202" t="s">
        <v>234</v>
      </c>
      <c r="I97" s="202"/>
      <c r="J97" s="202"/>
      <c r="K97" s="202"/>
      <c r="L97" s="204"/>
      <c r="M97" s="202" t="s">
        <v>31</v>
      </c>
      <c r="N97" s="202"/>
      <c r="O97" s="202"/>
      <c r="P97" s="202"/>
      <c r="Q97" s="203"/>
      <c r="R97" s="205"/>
      <c r="S97" s="203"/>
      <c r="T97" s="210"/>
      <c r="U97" s="202"/>
      <c r="V97" s="202"/>
      <c r="W97" s="202"/>
      <c r="X97" s="202"/>
      <c r="Y97" s="202" t="s">
        <v>33</v>
      </c>
      <c r="Z97" s="202"/>
      <c r="AB97" s="201"/>
      <c r="AC97" s="207"/>
      <c r="AE97" s="201"/>
    </row>
    <row r="98" spans="1:37" ht="21" customHeight="1">
      <c r="A98" s="253" t="s">
        <v>224</v>
      </c>
      <c r="B98" s="202" t="s">
        <v>26</v>
      </c>
      <c r="C98" s="202" t="s">
        <v>27</v>
      </c>
      <c r="D98" s="275">
        <v>97</v>
      </c>
      <c r="E98" s="202">
        <v>96</v>
      </c>
      <c r="F98" s="202" t="s">
        <v>235</v>
      </c>
      <c r="G98" s="203"/>
      <c r="H98" s="202"/>
      <c r="I98" s="202" t="s">
        <v>31</v>
      </c>
      <c r="J98" s="202"/>
      <c r="K98" s="202" t="s">
        <v>30</v>
      </c>
      <c r="L98" s="204"/>
      <c r="M98" s="202" t="s">
        <v>31</v>
      </c>
      <c r="N98" s="202"/>
      <c r="O98" s="202"/>
      <c r="P98" s="202"/>
      <c r="Q98" s="203"/>
      <c r="R98" s="205"/>
      <c r="S98" s="203"/>
      <c r="T98" s="210"/>
      <c r="U98" s="202" t="s">
        <v>48</v>
      </c>
      <c r="V98" s="202"/>
      <c r="W98" s="202" t="s">
        <v>54</v>
      </c>
      <c r="X98" s="202"/>
      <c r="Y98" s="202" t="s">
        <v>33</v>
      </c>
      <c r="Z98" s="202"/>
      <c r="AB98" s="201"/>
      <c r="AC98" s="207"/>
      <c r="AE98" s="201"/>
    </row>
    <row r="99" spans="1:37" ht="21" customHeight="1">
      <c r="A99" s="253" t="s">
        <v>224</v>
      </c>
      <c r="B99" s="202" t="s">
        <v>102</v>
      </c>
      <c r="C99" s="202" t="s">
        <v>27</v>
      </c>
      <c r="D99" s="275">
        <v>98</v>
      </c>
      <c r="E99" s="202">
        <v>97</v>
      </c>
      <c r="F99" s="202" t="s">
        <v>236</v>
      </c>
      <c r="G99" s="203" t="s">
        <v>104</v>
      </c>
      <c r="H99" s="202" t="s">
        <v>237</v>
      </c>
      <c r="I99" s="202" t="s">
        <v>31</v>
      </c>
      <c r="J99" s="202" t="s">
        <v>30</v>
      </c>
      <c r="K99" s="202" t="s">
        <v>30</v>
      </c>
      <c r="L99" s="204" t="s">
        <v>31</v>
      </c>
      <c r="M99" s="202" t="s">
        <v>31</v>
      </c>
      <c r="N99" s="202" t="s">
        <v>53</v>
      </c>
      <c r="O99" s="202"/>
      <c r="P99" s="202"/>
      <c r="Q99" s="203"/>
      <c r="R99" s="221"/>
      <c r="S99" s="216"/>
      <c r="T99" s="210"/>
      <c r="U99" s="202" t="s">
        <v>48</v>
      </c>
      <c r="V99" s="202" t="s">
        <v>32</v>
      </c>
      <c r="W99" s="202" t="s">
        <v>54</v>
      </c>
      <c r="X99" s="202" t="s">
        <v>49</v>
      </c>
      <c r="Y99" s="202" t="s">
        <v>33</v>
      </c>
      <c r="Z99" s="202" t="s">
        <v>55</v>
      </c>
      <c r="AB99" s="201"/>
      <c r="AC99" s="207"/>
      <c r="AE99" s="201"/>
    </row>
    <row r="100" spans="1:37" ht="21" customHeight="1">
      <c r="A100" s="253" t="s">
        <v>224</v>
      </c>
      <c r="B100" s="202" t="s">
        <v>75</v>
      </c>
      <c r="C100" s="202" t="s">
        <v>27</v>
      </c>
      <c r="D100" s="275">
        <v>99</v>
      </c>
      <c r="E100" s="202">
        <v>98</v>
      </c>
      <c r="F100" s="202" t="s">
        <v>238</v>
      </c>
      <c r="G100" s="203"/>
      <c r="H100" s="202" t="s">
        <v>184</v>
      </c>
      <c r="I100" s="202"/>
      <c r="J100" s="202"/>
      <c r="K100" s="202"/>
      <c r="L100" s="204" t="s">
        <v>31</v>
      </c>
      <c r="M100" s="202"/>
      <c r="N100" s="202"/>
      <c r="O100" s="202"/>
      <c r="P100" s="202"/>
      <c r="Q100" s="203"/>
      <c r="R100" s="217" t="s">
        <v>239</v>
      </c>
      <c r="S100" s="218"/>
      <c r="T100" s="210"/>
      <c r="U100" s="202"/>
      <c r="V100" s="202"/>
      <c r="W100" s="202"/>
      <c r="X100" s="202" t="s">
        <v>49</v>
      </c>
      <c r="Y100" s="202"/>
      <c r="Z100" s="202"/>
      <c r="AB100" s="201"/>
      <c r="AC100" s="208" t="s">
        <v>37</v>
      </c>
      <c r="AD100" s="209" t="s">
        <v>242</v>
      </c>
      <c r="AE100" s="209" t="s">
        <v>243</v>
      </c>
      <c r="AF100" s="209" t="s">
        <v>244</v>
      </c>
      <c r="AG100" s="209" t="s">
        <v>245</v>
      </c>
      <c r="AH100" s="209" t="s">
        <v>246</v>
      </c>
      <c r="AI100" s="209" t="s">
        <v>247</v>
      </c>
      <c r="AJ100" s="209" t="s">
        <v>248</v>
      </c>
      <c r="AK100" s="209" t="s">
        <v>249</v>
      </c>
    </row>
    <row r="101" spans="1:37" ht="21" customHeight="1">
      <c r="A101" s="253" t="s">
        <v>224</v>
      </c>
      <c r="B101" s="202" t="s">
        <v>75</v>
      </c>
      <c r="C101" s="202" t="s">
        <v>27</v>
      </c>
      <c r="D101" s="275">
        <v>100</v>
      </c>
      <c r="E101" s="202">
        <v>99</v>
      </c>
      <c r="F101" s="202" t="s">
        <v>240</v>
      </c>
      <c r="G101" s="203"/>
      <c r="H101" s="202"/>
      <c r="I101" s="202" t="s">
        <v>31</v>
      </c>
      <c r="J101" s="202"/>
      <c r="K101" s="202"/>
      <c r="L101" s="204" t="s">
        <v>31</v>
      </c>
      <c r="M101" s="202"/>
      <c r="N101" s="202"/>
      <c r="O101" s="202"/>
      <c r="P101" s="202"/>
      <c r="Q101" s="203"/>
      <c r="R101" s="236" t="s">
        <v>241</v>
      </c>
      <c r="S101" s="203"/>
      <c r="T101" s="210"/>
      <c r="U101" s="202" t="s">
        <v>48</v>
      </c>
      <c r="V101" s="202"/>
      <c r="W101" s="202"/>
      <c r="X101" s="202" t="s">
        <v>49</v>
      </c>
      <c r="Y101" s="202"/>
      <c r="Z101" s="202"/>
      <c r="AB101" s="201"/>
      <c r="AC101" s="208" t="str">
        <f t="shared" ref="AC101:AK101" si="1">AC229</f>
        <v>#</v>
      </c>
      <c r="AD101" s="209" t="str">
        <f t="shared" si="1"/>
        <v>月曜</v>
      </c>
      <c r="AE101" s="209" t="str">
        <f t="shared" si="1"/>
        <v>火曜</v>
      </c>
      <c r="AF101" s="209" t="str">
        <f t="shared" si="1"/>
        <v>木曜段紙</v>
      </c>
      <c r="AG101" s="209" t="str">
        <f t="shared" si="1"/>
        <v>水曜金属</v>
      </c>
      <c r="AH101" s="209" t="str">
        <f t="shared" si="1"/>
        <v>水曜</v>
      </c>
      <c r="AI101" s="209" t="str">
        <f t="shared" si="1"/>
        <v>木曜</v>
      </c>
      <c r="AJ101" s="209" t="str">
        <f t="shared" si="1"/>
        <v>金曜</v>
      </c>
      <c r="AK101" s="209" t="str">
        <f t="shared" si="1"/>
        <v>土曜</v>
      </c>
    </row>
    <row r="102" spans="1:37" ht="21" customHeight="1">
      <c r="A102" s="253" t="s">
        <v>224</v>
      </c>
      <c r="B102" s="202" t="s">
        <v>75</v>
      </c>
      <c r="C102" s="202" t="s">
        <v>27</v>
      </c>
      <c r="D102" s="275">
        <v>101</v>
      </c>
      <c r="E102" s="202">
        <v>100</v>
      </c>
      <c r="F102" s="202" t="s">
        <v>250</v>
      </c>
      <c r="G102" s="203"/>
      <c r="H102" s="202" t="s">
        <v>184</v>
      </c>
      <c r="I102" s="202" t="s">
        <v>31</v>
      </c>
      <c r="J102" s="202"/>
      <c r="K102" s="202"/>
      <c r="L102" s="204" t="s">
        <v>31</v>
      </c>
      <c r="M102" s="202"/>
      <c r="N102" s="202"/>
      <c r="O102" s="202"/>
      <c r="P102" s="202" t="s">
        <v>14</v>
      </c>
      <c r="Q102" s="203"/>
      <c r="R102" s="205" t="s">
        <v>251</v>
      </c>
      <c r="S102" s="203"/>
      <c r="T102" s="210"/>
      <c r="U102" s="202" t="s">
        <v>48</v>
      </c>
      <c r="V102" s="202"/>
      <c r="W102" s="202"/>
      <c r="X102" s="202" t="s">
        <v>49</v>
      </c>
      <c r="Y102" s="202"/>
      <c r="Z102" s="202"/>
      <c r="AB102" s="201"/>
      <c r="AC102" s="208" t="str">
        <f t="shared" ref="AC102:AK102" si="2">AC4</f>
        <v>段紙</v>
      </c>
      <c r="AD102" s="209">
        <f t="shared" si="2"/>
        <v>2</v>
      </c>
      <c r="AE102" s="209">
        <f t="shared" si="2"/>
        <v>0</v>
      </c>
      <c r="AF102" s="209">
        <f t="shared" si="2"/>
        <v>2</v>
      </c>
      <c r="AG102" s="209">
        <f t="shared" si="2"/>
        <v>2</v>
      </c>
      <c r="AH102" s="209">
        <f t="shared" si="2"/>
        <v>0</v>
      </c>
      <c r="AI102" s="209">
        <f t="shared" si="2"/>
        <v>2</v>
      </c>
      <c r="AJ102" s="209">
        <f t="shared" si="2"/>
        <v>0</v>
      </c>
      <c r="AK102" s="209">
        <f t="shared" si="2"/>
        <v>0</v>
      </c>
    </row>
    <row r="103" spans="1:37" ht="21" customHeight="1">
      <c r="A103" s="253" t="s">
        <v>224</v>
      </c>
      <c r="B103" s="202" t="s">
        <v>75</v>
      </c>
      <c r="C103" s="202" t="s">
        <v>27</v>
      </c>
      <c r="D103" s="275">
        <v>102</v>
      </c>
      <c r="E103" s="202">
        <v>101</v>
      </c>
      <c r="F103" s="202" t="s">
        <v>252</v>
      </c>
      <c r="G103" s="203"/>
      <c r="H103" s="202"/>
      <c r="I103" s="202" t="s">
        <v>31</v>
      </c>
      <c r="J103" s="202"/>
      <c r="K103" s="202"/>
      <c r="L103" s="204" t="s">
        <v>31</v>
      </c>
      <c r="M103" s="202"/>
      <c r="N103" s="202"/>
      <c r="O103" s="202"/>
      <c r="P103" s="202"/>
      <c r="Q103" s="203"/>
      <c r="R103" s="205"/>
      <c r="S103" s="203"/>
      <c r="T103" s="210"/>
      <c r="U103" s="202" t="s">
        <v>48</v>
      </c>
      <c r="V103" s="202"/>
      <c r="W103" s="202"/>
      <c r="X103" s="202" t="s">
        <v>49</v>
      </c>
      <c r="Y103" s="202"/>
      <c r="Z103" s="202"/>
      <c r="AB103" s="201"/>
      <c r="AC103" s="208" t="str">
        <f t="shared" ref="AC103:AK103" si="3">AC7</f>
        <v>金属</v>
      </c>
      <c r="AD103" s="209">
        <f t="shared" si="3"/>
        <v>0</v>
      </c>
      <c r="AE103" s="209">
        <f t="shared" si="3"/>
        <v>0</v>
      </c>
      <c r="AF103" s="209">
        <f t="shared" si="3"/>
        <v>0</v>
      </c>
      <c r="AG103" s="209">
        <f t="shared" si="3"/>
        <v>0</v>
      </c>
      <c r="AH103" s="209">
        <f t="shared" si="3"/>
        <v>0</v>
      </c>
      <c r="AI103" s="209">
        <f t="shared" si="3"/>
        <v>0</v>
      </c>
      <c r="AJ103" s="209">
        <f t="shared" si="3"/>
        <v>0</v>
      </c>
      <c r="AK103" s="209">
        <f t="shared" si="3"/>
        <v>67</v>
      </c>
    </row>
    <row r="104" spans="1:37" ht="21" customHeight="1">
      <c r="A104" s="253" t="s">
        <v>224</v>
      </c>
      <c r="B104" s="202" t="s">
        <v>26</v>
      </c>
      <c r="C104" s="202" t="s">
        <v>27</v>
      </c>
      <c r="D104" s="275">
        <v>103</v>
      </c>
      <c r="E104" s="202">
        <v>102</v>
      </c>
      <c r="F104" s="202" t="s">
        <v>253</v>
      </c>
      <c r="G104" s="203"/>
      <c r="H104" s="202" t="s">
        <v>254</v>
      </c>
      <c r="I104" s="202"/>
      <c r="J104" s="202"/>
      <c r="K104" s="202"/>
      <c r="L104" s="204"/>
      <c r="M104" s="202" t="s">
        <v>31</v>
      </c>
      <c r="N104" s="202"/>
      <c r="O104" s="202"/>
      <c r="P104" s="202"/>
      <c r="Q104" s="203"/>
      <c r="R104" s="205"/>
      <c r="S104" s="203"/>
      <c r="T104" s="210" t="s">
        <v>210</v>
      </c>
      <c r="U104" s="202"/>
      <c r="V104" s="202"/>
      <c r="W104" s="202"/>
      <c r="X104" s="202"/>
      <c r="Y104" s="202" t="s">
        <v>33</v>
      </c>
      <c r="Z104" s="202"/>
      <c r="AB104" s="201"/>
      <c r="AC104" s="208" t="str">
        <f t="shared" ref="AC104:AK104" si="4">AC8</f>
        <v>〇</v>
      </c>
      <c r="AD104" s="209">
        <f t="shared" si="4"/>
        <v>0</v>
      </c>
      <c r="AE104" s="209">
        <f t="shared" si="4"/>
        <v>0</v>
      </c>
      <c r="AF104" s="209">
        <f t="shared" si="4"/>
        <v>0</v>
      </c>
      <c r="AG104" s="209">
        <f t="shared" si="4"/>
        <v>0</v>
      </c>
      <c r="AH104" s="209">
        <f t="shared" si="4"/>
        <v>0</v>
      </c>
      <c r="AI104" s="209">
        <f t="shared" si="4"/>
        <v>21</v>
      </c>
      <c r="AJ104" s="209">
        <f t="shared" si="4"/>
        <v>0</v>
      </c>
      <c r="AK104" s="209">
        <f t="shared" si="4"/>
        <v>0</v>
      </c>
    </row>
    <row r="105" spans="1:37" ht="21" customHeight="1">
      <c r="A105" s="253" t="s">
        <v>224</v>
      </c>
      <c r="B105" s="202" t="s">
        <v>131</v>
      </c>
      <c r="C105" s="202" t="s">
        <v>27</v>
      </c>
      <c r="D105" s="275">
        <v>104</v>
      </c>
      <c r="E105" s="202">
        <v>103</v>
      </c>
      <c r="F105" s="202" t="s">
        <v>255</v>
      </c>
      <c r="G105" s="203"/>
      <c r="H105" s="202" t="s">
        <v>256</v>
      </c>
      <c r="I105" s="202" t="s">
        <v>31</v>
      </c>
      <c r="J105" s="202"/>
      <c r="K105" s="202"/>
      <c r="L105" s="204" t="s">
        <v>31</v>
      </c>
      <c r="M105" s="202"/>
      <c r="N105" s="202"/>
      <c r="O105" s="202"/>
      <c r="P105" s="202"/>
      <c r="Q105" s="203"/>
      <c r="R105" s="205"/>
      <c r="S105" s="203"/>
      <c r="T105" s="210"/>
      <c r="U105" s="202" t="s">
        <v>48</v>
      </c>
      <c r="V105" s="202"/>
      <c r="W105" s="202"/>
      <c r="X105" s="202" t="s">
        <v>49</v>
      </c>
      <c r="Y105" s="202"/>
      <c r="Z105" s="202"/>
      <c r="AB105" s="201"/>
      <c r="AC105" s="208" t="str">
        <f t="shared" ref="AC105:AK105" si="5">AC9</f>
        <v>N-（西山）</v>
      </c>
      <c r="AD105" s="209">
        <f t="shared" si="5"/>
        <v>60</v>
      </c>
      <c r="AE105" s="209">
        <f t="shared" si="5"/>
        <v>49</v>
      </c>
      <c r="AF105" s="209">
        <f t="shared" si="5"/>
        <v>47</v>
      </c>
      <c r="AG105" s="209">
        <f t="shared" si="5"/>
        <v>61</v>
      </c>
      <c r="AH105" s="209">
        <f t="shared" si="5"/>
        <v>61</v>
      </c>
      <c r="AI105" s="209">
        <f t="shared" si="5"/>
        <v>0</v>
      </c>
      <c r="AJ105" s="209">
        <f t="shared" si="5"/>
        <v>0</v>
      </c>
      <c r="AK105" s="209">
        <f t="shared" si="5"/>
        <v>0</v>
      </c>
    </row>
    <row r="106" spans="1:37" ht="21" customHeight="1">
      <c r="A106" s="253" t="s">
        <v>224</v>
      </c>
      <c r="B106" s="202" t="s">
        <v>79</v>
      </c>
      <c r="C106" s="202" t="s">
        <v>27</v>
      </c>
      <c r="D106" s="275">
        <v>105</v>
      </c>
      <c r="E106" s="202">
        <v>104</v>
      </c>
      <c r="F106" s="202" t="s">
        <v>257</v>
      </c>
      <c r="G106" s="203"/>
      <c r="H106" s="202" t="s">
        <v>258</v>
      </c>
      <c r="I106" s="202" t="s">
        <v>31</v>
      </c>
      <c r="J106" s="203" t="s">
        <v>31</v>
      </c>
      <c r="K106" s="202" t="s">
        <v>30</v>
      </c>
      <c r="L106" s="204" t="s">
        <v>31</v>
      </c>
      <c r="M106" s="202" t="s">
        <v>31</v>
      </c>
      <c r="N106" s="202" t="s">
        <v>53</v>
      </c>
      <c r="O106" s="202"/>
      <c r="P106" s="202"/>
      <c r="Q106" s="203"/>
      <c r="R106" s="205"/>
      <c r="S106" s="203"/>
      <c r="T106" s="210"/>
      <c r="U106" s="202" t="s">
        <v>48</v>
      </c>
      <c r="V106" s="202" t="s">
        <v>32</v>
      </c>
      <c r="W106" s="202" t="s">
        <v>54</v>
      </c>
      <c r="X106" s="202" t="s">
        <v>49</v>
      </c>
      <c r="Y106" s="202" t="s">
        <v>33</v>
      </c>
      <c r="Z106" s="202" t="s">
        <v>55</v>
      </c>
      <c r="AB106" s="201"/>
      <c r="AC106" s="208" t="str">
        <f t="shared" ref="AC106:AK106" si="6">AC10</f>
        <v>K-</v>
      </c>
      <c r="AD106" s="209">
        <f t="shared" si="6"/>
        <v>54</v>
      </c>
      <c r="AE106" s="209">
        <f t="shared" si="6"/>
        <v>60</v>
      </c>
      <c r="AF106" s="209">
        <f t="shared" si="6"/>
        <v>94</v>
      </c>
      <c r="AG106" s="209">
        <f t="shared" si="6"/>
        <v>37</v>
      </c>
      <c r="AH106" s="209">
        <f t="shared" si="6"/>
        <v>42</v>
      </c>
      <c r="AI106" s="209">
        <f t="shared" si="6"/>
        <v>0</v>
      </c>
      <c r="AJ106" s="209">
        <f t="shared" si="6"/>
        <v>0</v>
      </c>
      <c r="AK106" s="209">
        <f t="shared" si="6"/>
        <v>0</v>
      </c>
    </row>
    <row r="107" spans="1:37" ht="21" customHeight="1">
      <c r="A107" s="253" t="s">
        <v>224</v>
      </c>
      <c r="B107" s="202" t="s">
        <v>79</v>
      </c>
      <c r="C107" s="202" t="s">
        <v>27</v>
      </c>
      <c r="D107" s="275">
        <v>106</v>
      </c>
      <c r="E107" s="202">
        <v>105</v>
      </c>
      <c r="F107" s="202" t="s">
        <v>259</v>
      </c>
      <c r="G107" s="203" t="s">
        <v>104</v>
      </c>
      <c r="H107" s="202" t="s">
        <v>260</v>
      </c>
      <c r="I107" s="202" t="s">
        <v>31</v>
      </c>
      <c r="J107" s="203" t="s">
        <v>31</v>
      </c>
      <c r="K107" s="202" t="s">
        <v>30</v>
      </c>
      <c r="L107" s="204" t="s">
        <v>31</v>
      </c>
      <c r="M107" s="202" t="s">
        <v>31</v>
      </c>
      <c r="N107" s="202" t="s">
        <v>53</v>
      </c>
      <c r="O107" s="202"/>
      <c r="P107" s="202"/>
      <c r="Q107" s="203"/>
      <c r="R107" s="205"/>
      <c r="S107" s="203"/>
      <c r="T107" s="210"/>
      <c r="U107" s="202" t="s">
        <v>48</v>
      </c>
      <c r="V107" s="202" t="s">
        <v>32</v>
      </c>
      <c r="W107" s="202" t="s">
        <v>54</v>
      </c>
      <c r="X107" s="202" t="s">
        <v>49</v>
      </c>
      <c r="Y107" s="202" t="s">
        <v>33</v>
      </c>
      <c r="Z107" s="202" t="s">
        <v>55</v>
      </c>
      <c r="AB107" s="201"/>
      <c r="AC107" s="208" t="str">
        <f t="shared" ref="AC107:AK107" si="7">AC11</f>
        <v>M-</v>
      </c>
      <c r="AD107" s="209">
        <f t="shared" si="7"/>
        <v>0</v>
      </c>
      <c r="AE107" s="209">
        <f t="shared" si="7"/>
        <v>0</v>
      </c>
      <c r="AF107" s="209">
        <f t="shared" si="7"/>
        <v>33</v>
      </c>
      <c r="AG107" s="209">
        <f t="shared" si="7"/>
        <v>0</v>
      </c>
      <c r="AH107" s="209">
        <f t="shared" si="7"/>
        <v>0</v>
      </c>
      <c r="AI107" s="209">
        <f t="shared" si="7"/>
        <v>0</v>
      </c>
      <c r="AJ107" s="209">
        <f t="shared" si="7"/>
        <v>0</v>
      </c>
      <c r="AK107" s="209">
        <f t="shared" si="7"/>
        <v>0</v>
      </c>
    </row>
    <row r="108" spans="1:37" ht="21" customHeight="1">
      <c r="A108" s="253" t="s">
        <v>224</v>
      </c>
      <c r="B108" s="202" t="s">
        <v>131</v>
      </c>
      <c r="C108" s="202" t="s">
        <v>27</v>
      </c>
      <c r="D108" s="275">
        <v>107</v>
      </c>
      <c r="E108" s="202">
        <v>106</v>
      </c>
      <c r="F108" s="202" t="s">
        <v>261</v>
      </c>
      <c r="G108" s="203"/>
      <c r="H108" s="202" t="s">
        <v>262</v>
      </c>
      <c r="I108" s="202" t="s">
        <v>30</v>
      </c>
      <c r="J108" s="202"/>
      <c r="K108" s="202"/>
      <c r="L108" s="204" t="s">
        <v>30</v>
      </c>
      <c r="M108" s="202"/>
      <c r="N108" s="202"/>
      <c r="O108" s="202"/>
      <c r="P108" s="202"/>
      <c r="Q108" s="203"/>
      <c r="R108" s="205"/>
      <c r="S108" s="203"/>
      <c r="T108" s="202"/>
      <c r="U108" s="202" t="s">
        <v>48</v>
      </c>
      <c r="V108" s="202"/>
      <c r="W108" s="202"/>
      <c r="X108" s="202" t="s">
        <v>49</v>
      </c>
      <c r="Y108" s="202"/>
      <c r="Z108" s="202"/>
      <c r="AB108" s="201"/>
      <c r="AC108" s="208" t="str">
        <f t="shared" ref="AC108:AK108" si="8">AC12</f>
        <v>計</v>
      </c>
      <c r="AD108" s="209">
        <f t="shared" si="8"/>
        <v>116</v>
      </c>
      <c r="AE108" s="209">
        <f t="shared" si="8"/>
        <v>109</v>
      </c>
      <c r="AF108" s="209">
        <f t="shared" si="8"/>
        <v>176</v>
      </c>
      <c r="AG108" s="209">
        <f t="shared" si="8"/>
        <v>100</v>
      </c>
      <c r="AH108" s="209">
        <f t="shared" si="8"/>
        <v>103</v>
      </c>
      <c r="AI108" s="209">
        <f t="shared" si="8"/>
        <v>23</v>
      </c>
      <c r="AJ108" s="209">
        <f t="shared" si="8"/>
        <v>0</v>
      </c>
      <c r="AK108" s="209">
        <f t="shared" si="8"/>
        <v>67</v>
      </c>
    </row>
    <row r="109" spans="1:37" ht="21" customHeight="1">
      <c r="A109" s="253" t="s">
        <v>224</v>
      </c>
      <c r="B109" s="202" t="s">
        <v>34</v>
      </c>
      <c r="C109" s="202" t="s">
        <v>27</v>
      </c>
      <c r="D109" s="275">
        <v>108</v>
      </c>
      <c r="E109" s="202">
        <v>107</v>
      </c>
      <c r="F109" s="202" t="s">
        <v>263</v>
      </c>
      <c r="G109" s="203"/>
      <c r="H109" s="202" t="s">
        <v>264</v>
      </c>
      <c r="I109" s="203" t="s">
        <v>30</v>
      </c>
      <c r="J109" s="202"/>
      <c r="K109" s="202"/>
      <c r="L109" s="204" t="s">
        <v>30</v>
      </c>
      <c r="M109" s="202"/>
      <c r="N109" s="202"/>
      <c r="O109" s="202"/>
      <c r="P109" s="202" t="s">
        <v>14</v>
      </c>
      <c r="Q109" s="203"/>
      <c r="R109" s="205"/>
      <c r="S109" s="203"/>
      <c r="T109" s="210" t="s">
        <v>130</v>
      </c>
      <c r="U109" s="203" t="s">
        <v>48</v>
      </c>
      <c r="V109" s="202"/>
      <c r="W109" s="202"/>
      <c r="X109" s="202" t="s">
        <v>49</v>
      </c>
      <c r="Y109" s="202"/>
      <c r="Z109" s="202"/>
      <c r="AB109" s="201"/>
      <c r="AC109" s="207"/>
      <c r="AE109" s="201"/>
    </row>
    <row r="110" spans="1:37" ht="21" customHeight="1">
      <c r="A110" s="253" t="s">
        <v>224</v>
      </c>
      <c r="B110" s="202" t="s">
        <v>75</v>
      </c>
      <c r="C110" s="202" t="s">
        <v>27</v>
      </c>
      <c r="D110" s="275">
        <v>109</v>
      </c>
      <c r="E110" s="202">
        <v>108</v>
      </c>
      <c r="F110" s="202" t="s">
        <v>265</v>
      </c>
      <c r="G110" s="203"/>
      <c r="H110" s="202"/>
      <c r="I110" s="202" t="s">
        <v>31</v>
      </c>
      <c r="J110" s="202"/>
      <c r="K110" s="202"/>
      <c r="L110" s="204" t="s">
        <v>31</v>
      </c>
      <c r="M110" s="202"/>
      <c r="N110" s="202"/>
      <c r="O110" s="202"/>
      <c r="P110" s="202"/>
      <c r="Q110" s="203"/>
      <c r="R110" s="205"/>
      <c r="S110" s="203"/>
      <c r="T110" s="210"/>
      <c r="U110" s="202" t="s">
        <v>48</v>
      </c>
      <c r="V110" s="202"/>
      <c r="W110" s="202"/>
      <c r="X110" s="202" t="s">
        <v>49</v>
      </c>
      <c r="Y110" s="202"/>
      <c r="Z110" s="202"/>
      <c r="AB110" s="201"/>
      <c r="AC110" s="207"/>
      <c r="AE110" s="201"/>
    </row>
    <row r="111" spans="1:37" ht="21" customHeight="1">
      <c r="A111" s="259" t="s">
        <v>266</v>
      </c>
      <c r="B111" s="202" t="s">
        <v>50</v>
      </c>
      <c r="C111" s="202" t="s">
        <v>27</v>
      </c>
      <c r="D111" s="276">
        <v>110</v>
      </c>
      <c r="E111" s="202">
        <v>109</v>
      </c>
      <c r="F111" s="202" t="s">
        <v>267</v>
      </c>
      <c r="G111" s="203" t="s">
        <v>104</v>
      </c>
      <c r="H111" s="202" t="s">
        <v>184</v>
      </c>
      <c r="I111" s="202" t="s">
        <v>30</v>
      </c>
      <c r="J111" s="202" t="s">
        <v>30</v>
      </c>
      <c r="K111" s="202" t="s">
        <v>30</v>
      </c>
      <c r="L111" s="204" t="s">
        <v>30</v>
      </c>
      <c r="M111" s="202" t="s">
        <v>30</v>
      </c>
      <c r="N111" s="202" t="s">
        <v>53</v>
      </c>
      <c r="O111" s="202"/>
      <c r="P111" s="202" t="s">
        <v>14</v>
      </c>
      <c r="Q111" s="203"/>
      <c r="R111" s="205" t="s">
        <v>268</v>
      </c>
      <c r="S111" s="203"/>
      <c r="T111" s="210"/>
      <c r="U111" s="202" t="s">
        <v>48</v>
      </c>
      <c r="V111" s="202" t="s">
        <v>32</v>
      </c>
      <c r="W111" s="202" t="s">
        <v>54</v>
      </c>
      <c r="X111" s="202" t="s">
        <v>49</v>
      </c>
      <c r="Y111" s="202" t="s">
        <v>33</v>
      </c>
      <c r="Z111" s="202" t="s">
        <v>55</v>
      </c>
      <c r="AB111" s="201"/>
      <c r="AC111" s="207"/>
      <c r="AE111" s="201"/>
    </row>
    <row r="112" spans="1:37" ht="21" customHeight="1">
      <c r="A112" s="259" t="s">
        <v>266</v>
      </c>
      <c r="B112" s="202" t="s">
        <v>50</v>
      </c>
      <c r="C112" s="202" t="s">
        <v>27</v>
      </c>
      <c r="D112" s="276">
        <v>111</v>
      </c>
      <c r="E112" s="202">
        <v>110</v>
      </c>
      <c r="F112" s="202" t="s">
        <v>269</v>
      </c>
      <c r="G112" s="203"/>
      <c r="H112" s="202" t="s">
        <v>270</v>
      </c>
      <c r="I112" s="202" t="s">
        <v>30</v>
      </c>
      <c r="J112" s="202" t="s">
        <v>30</v>
      </c>
      <c r="K112" s="202" t="s">
        <v>30</v>
      </c>
      <c r="L112" s="204" t="s">
        <v>30</v>
      </c>
      <c r="M112" s="202" t="s">
        <v>30</v>
      </c>
      <c r="N112" s="202"/>
      <c r="O112" s="202"/>
      <c r="P112" s="202" t="s">
        <v>14</v>
      </c>
      <c r="Q112" s="203"/>
      <c r="R112" s="205"/>
      <c r="S112" s="203"/>
      <c r="T112" s="210"/>
      <c r="U112" s="202" t="s">
        <v>48</v>
      </c>
      <c r="V112" s="202" t="s">
        <v>32</v>
      </c>
      <c r="W112" s="202" t="s">
        <v>54</v>
      </c>
      <c r="X112" s="202" t="s">
        <v>49</v>
      </c>
      <c r="Y112" s="202" t="s">
        <v>33</v>
      </c>
      <c r="Z112" s="202"/>
      <c r="AB112" s="201"/>
      <c r="AC112" s="207"/>
      <c r="AE112" s="201"/>
    </row>
    <row r="113" spans="1:31" ht="21" customHeight="1">
      <c r="A113" s="259" t="s">
        <v>266</v>
      </c>
      <c r="B113" s="202" t="s">
        <v>26</v>
      </c>
      <c r="C113" s="202" t="s">
        <v>27</v>
      </c>
      <c r="D113" s="276">
        <v>112</v>
      </c>
      <c r="E113" s="202">
        <v>111</v>
      </c>
      <c r="F113" s="202" t="s">
        <v>271</v>
      </c>
      <c r="G113" s="203" t="s">
        <v>104</v>
      </c>
      <c r="H113" s="202" t="s">
        <v>272</v>
      </c>
      <c r="I113" s="202" t="s">
        <v>30</v>
      </c>
      <c r="J113" s="202" t="s">
        <v>30</v>
      </c>
      <c r="K113" s="202" t="s">
        <v>30</v>
      </c>
      <c r="L113" s="204" t="s">
        <v>30</v>
      </c>
      <c r="M113" s="202" t="s">
        <v>30</v>
      </c>
      <c r="N113" s="202"/>
      <c r="O113" s="202"/>
      <c r="P113" s="202" t="s">
        <v>14</v>
      </c>
      <c r="Q113" s="203"/>
      <c r="R113" s="205"/>
      <c r="S113" s="203"/>
      <c r="T113" s="210"/>
      <c r="U113" s="202" t="s">
        <v>48</v>
      </c>
      <c r="V113" s="202" t="s">
        <v>32</v>
      </c>
      <c r="W113" s="202" t="s">
        <v>54</v>
      </c>
      <c r="X113" s="202" t="s">
        <v>49</v>
      </c>
      <c r="Y113" s="202" t="s">
        <v>33</v>
      </c>
      <c r="Z113" s="202"/>
      <c r="AB113" s="201"/>
      <c r="AC113" s="207"/>
      <c r="AE113" s="201"/>
    </row>
    <row r="114" spans="1:31" ht="21" customHeight="1">
      <c r="A114" s="259" t="s">
        <v>266</v>
      </c>
      <c r="B114" s="202" t="s">
        <v>75</v>
      </c>
      <c r="C114" s="202" t="s">
        <v>27</v>
      </c>
      <c r="D114" s="276">
        <v>113</v>
      </c>
      <c r="E114" s="202">
        <v>112</v>
      </c>
      <c r="F114" s="202" t="s">
        <v>273</v>
      </c>
      <c r="G114" s="203"/>
      <c r="H114" s="202"/>
      <c r="I114" s="202"/>
      <c r="J114" s="202" t="s">
        <v>30</v>
      </c>
      <c r="K114" s="202"/>
      <c r="L114" s="204"/>
      <c r="M114" s="202" t="s">
        <v>30</v>
      </c>
      <c r="N114" s="202"/>
      <c r="O114" s="202"/>
      <c r="P114" s="202"/>
      <c r="Q114" s="203"/>
      <c r="R114" s="205"/>
      <c r="S114" s="203"/>
      <c r="T114" s="210"/>
      <c r="U114" s="202"/>
      <c r="V114" s="202" t="s">
        <v>32</v>
      </c>
      <c r="W114" s="202"/>
      <c r="X114" s="202"/>
      <c r="Y114" s="202" t="s">
        <v>33</v>
      </c>
      <c r="Z114" s="202"/>
      <c r="AB114" s="201"/>
      <c r="AC114" s="207"/>
      <c r="AE114" s="201"/>
    </row>
    <row r="115" spans="1:31" ht="21" customHeight="1">
      <c r="A115" s="259" t="s">
        <v>266</v>
      </c>
      <c r="B115" s="202" t="s">
        <v>75</v>
      </c>
      <c r="C115" s="202" t="s">
        <v>27</v>
      </c>
      <c r="D115" s="276">
        <v>114</v>
      </c>
      <c r="E115" s="202">
        <v>113</v>
      </c>
      <c r="F115" s="202" t="s">
        <v>274</v>
      </c>
      <c r="G115" s="203"/>
      <c r="H115" s="202"/>
      <c r="I115" s="202"/>
      <c r="J115" s="202"/>
      <c r="K115" s="202" t="s">
        <v>30</v>
      </c>
      <c r="L115" s="204"/>
      <c r="M115" s="202"/>
      <c r="N115" s="202"/>
      <c r="O115" s="202"/>
      <c r="P115" s="202" t="s">
        <v>14</v>
      </c>
      <c r="Q115" s="203"/>
      <c r="R115" s="205"/>
      <c r="S115" s="203"/>
      <c r="T115" s="210"/>
      <c r="U115" s="202"/>
      <c r="V115" s="202"/>
      <c r="W115" s="202" t="s">
        <v>54</v>
      </c>
      <c r="X115" s="202"/>
      <c r="Y115" s="202"/>
      <c r="Z115" s="202"/>
      <c r="AB115" s="201"/>
      <c r="AC115" s="207"/>
      <c r="AE115" s="201"/>
    </row>
    <row r="116" spans="1:31" ht="21" customHeight="1">
      <c r="A116" s="259" t="s">
        <v>266</v>
      </c>
      <c r="B116" s="202" t="s">
        <v>73</v>
      </c>
      <c r="C116" s="202" t="s">
        <v>27</v>
      </c>
      <c r="D116" s="276">
        <v>115</v>
      </c>
      <c r="E116" s="202">
        <v>114</v>
      </c>
      <c r="F116" s="202" t="s">
        <v>275</v>
      </c>
      <c r="G116" s="203"/>
      <c r="H116" s="202" t="s">
        <v>276</v>
      </c>
      <c r="I116" s="202"/>
      <c r="J116" s="202" t="s">
        <v>30</v>
      </c>
      <c r="K116" s="202"/>
      <c r="L116" s="204"/>
      <c r="M116" s="202" t="s">
        <v>30</v>
      </c>
      <c r="N116" s="202"/>
      <c r="O116" s="202"/>
      <c r="P116" s="202"/>
      <c r="Q116" s="203" t="s">
        <v>36</v>
      </c>
      <c r="R116" s="205"/>
      <c r="S116" s="203"/>
      <c r="T116" s="210"/>
      <c r="U116" s="202"/>
      <c r="V116" s="202" t="s">
        <v>32</v>
      </c>
      <c r="W116" s="202"/>
      <c r="X116" s="202"/>
      <c r="Y116" s="202" t="s">
        <v>33</v>
      </c>
      <c r="Z116" s="202"/>
      <c r="AB116" s="201"/>
      <c r="AC116" s="207"/>
      <c r="AE116" s="201"/>
    </row>
    <row r="117" spans="1:31" ht="21" customHeight="1">
      <c r="A117" s="259" t="s">
        <v>266</v>
      </c>
      <c r="B117" s="202" t="s">
        <v>34</v>
      </c>
      <c r="C117" s="202" t="s">
        <v>27</v>
      </c>
      <c r="D117" s="276">
        <v>116</v>
      </c>
      <c r="E117" s="202">
        <v>115</v>
      </c>
      <c r="F117" s="202" t="s">
        <v>277</v>
      </c>
      <c r="G117" s="203"/>
      <c r="H117" s="202" t="s">
        <v>278</v>
      </c>
      <c r="I117" s="202"/>
      <c r="J117" s="202"/>
      <c r="K117" s="202"/>
      <c r="L117" s="204"/>
      <c r="M117" s="202" t="s">
        <v>30</v>
      </c>
      <c r="N117" s="202"/>
      <c r="O117" s="202"/>
      <c r="P117" s="202"/>
      <c r="Q117" s="203"/>
      <c r="R117" s="205"/>
      <c r="S117" s="203"/>
      <c r="T117" s="210"/>
      <c r="U117" s="202"/>
      <c r="V117" s="202"/>
      <c r="W117" s="202"/>
      <c r="X117" s="202"/>
      <c r="Y117" s="202" t="s">
        <v>33</v>
      </c>
      <c r="Z117" s="202"/>
      <c r="AB117" s="201"/>
      <c r="AC117" s="207"/>
      <c r="AE117" s="201"/>
    </row>
    <row r="118" spans="1:31" ht="21" customHeight="1">
      <c r="A118" s="259" t="s">
        <v>266</v>
      </c>
      <c r="B118" s="202" t="s">
        <v>26</v>
      </c>
      <c r="C118" s="202" t="s">
        <v>27</v>
      </c>
      <c r="D118" s="276">
        <v>117</v>
      </c>
      <c r="E118" s="202">
        <v>116</v>
      </c>
      <c r="F118" s="202" t="s">
        <v>279</v>
      </c>
      <c r="G118" s="203"/>
      <c r="H118" s="202" t="s">
        <v>280</v>
      </c>
      <c r="I118" s="202" t="s">
        <v>30</v>
      </c>
      <c r="J118" s="202" t="s">
        <v>30</v>
      </c>
      <c r="K118" s="202" t="s">
        <v>30</v>
      </c>
      <c r="L118" s="204" t="s">
        <v>30</v>
      </c>
      <c r="M118" s="202" t="s">
        <v>30</v>
      </c>
      <c r="N118" s="202"/>
      <c r="O118" s="202"/>
      <c r="P118" s="202" t="s">
        <v>14</v>
      </c>
      <c r="Q118" s="203"/>
      <c r="R118" s="205"/>
      <c r="S118" s="203"/>
      <c r="T118" s="210"/>
      <c r="U118" s="202" t="s">
        <v>48</v>
      </c>
      <c r="V118" s="202" t="s">
        <v>32</v>
      </c>
      <c r="W118" s="202" t="s">
        <v>54</v>
      </c>
      <c r="X118" s="202" t="s">
        <v>49</v>
      </c>
      <c r="Y118" s="202" t="s">
        <v>33</v>
      </c>
      <c r="Z118" s="202"/>
      <c r="AB118" s="201"/>
      <c r="AC118" s="207"/>
      <c r="AE118" s="201"/>
    </row>
    <row r="119" spans="1:31" ht="21" customHeight="1">
      <c r="A119" s="259" t="s">
        <v>266</v>
      </c>
      <c r="B119" s="202" t="s">
        <v>73</v>
      </c>
      <c r="C119" s="202" t="s">
        <v>27</v>
      </c>
      <c r="D119" s="276">
        <v>118</v>
      </c>
      <c r="E119" s="202">
        <v>117</v>
      </c>
      <c r="F119" s="202" t="s">
        <v>281</v>
      </c>
      <c r="G119" s="203"/>
      <c r="H119" s="202" t="s">
        <v>282</v>
      </c>
      <c r="I119" s="202" t="s">
        <v>30</v>
      </c>
      <c r="J119" s="202"/>
      <c r="K119" s="202" t="s">
        <v>30</v>
      </c>
      <c r="L119" s="204"/>
      <c r="M119" s="202" t="s">
        <v>30</v>
      </c>
      <c r="N119" s="202"/>
      <c r="O119" s="202"/>
      <c r="P119" s="202" t="s">
        <v>14</v>
      </c>
      <c r="Q119" s="203"/>
      <c r="R119" s="205"/>
      <c r="S119" s="203"/>
      <c r="T119" s="210"/>
      <c r="U119" s="202" t="s">
        <v>48</v>
      </c>
      <c r="V119" s="202"/>
      <c r="W119" s="202" t="s">
        <v>54</v>
      </c>
      <c r="X119" s="202"/>
      <c r="Y119" s="202" t="s">
        <v>33</v>
      </c>
      <c r="Z119" s="202"/>
      <c r="AB119" s="201"/>
      <c r="AC119" s="207"/>
      <c r="AE119" s="201"/>
    </row>
    <row r="120" spans="1:31" ht="21" customHeight="1">
      <c r="A120" s="259" t="s">
        <v>266</v>
      </c>
      <c r="B120" s="202" t="s">
        <v>50</v>
      </c>
      <c r="C120" s="202" t="s">
        <v>27</v>
      </c>
      <c r="D120" s="276">
        <v>119</v>
      </c>
      <c r="E120" s="202">
        <v>118</v>
      </c>
      <c r="F120" s="202" t="s">
        <v>283</v>
      </c>
      <c r="G120" s="203"/>
      <c r="H120" s="202" t="s">
        <v>284</v>
      </c>
      <c r="I120" s="202" t="s">
        <v>30</v>
      </c>
      <c r="J120" s="202"/>
      <c r="K120" s="202" t="s">
        <v>30</v>
      </c>
      <c r="L120" s="204"/>
      <c r="M120" s="202" t="s">
        <v>30</v>
      </c>
      <c r="N120" s="202"/>
      <c r="O120" s="202"/>
      <c r="P120" s="202"/>
      <c r="Q120" s="203"/>
      <c r="R120" s="205"/>
      <c r="S120" s="203"/>
      <c r="T120" s="210" t="s">
        <v>285</v>
      </c>
      <c r="U120" s="202" t="s">
        <v>48</v>
      </c>
      <c r="V120" s="202"/>
      <c r="W120" s="202" t="s">
        <v>54</v>
      </c>
      <c r="X120" s="202"/>
      <c r="Y120" s="202" t="s">
        <v>33</v>
      </c>
      <c r="Z120" s="202"/>
      <c r="AB120" s="201"/>
      <c r="AC120" s="207"/>
      <c r="AE120" s="201"/>
    </row>
    <row r="121" spans="1:31" ht="21" customHeight="1">
      <c r="A121" s="259" t="s">
        <v>266</v>
      </c>
      <c r="B121" s="202" t="s">
        <v>131</v>
      </c>
      <c r="C121" s="202" t="s">
        <v>27</v>
      </c>
      <c r="D121" s="276">
        <v>120</v>
      </c>
      <c r="E121" s="202">
        <v>119</v>
      </c>
      <c r="F121" s="202" t="s">
        <v>286</v>
      </c>
      <c r="G121" s="203"/>
      <c r="H121" s="202" t="s">
        <v>287</v>
      </c>
      <c r="I121" s="202"/>
      <c r="J121" s="202" t="s">
        <v>30</v>
      </c>
      <c r="K121" s="202"/>
      <c r="L121" s="204"/>
      <c r="M121" s="202" t="s">
        <v>30</v>
      </c>
      <c r="N121" s="202"/>
      <c r="O121" s="202"/>
      <c r="P121" s="202"/>
      <c r="Q121" s="203"/>
      <c r="R121" s="205"/>
      <c r="S121" s="203"/>
      <c r="T121" s="210"/>
      <c r="U121" s="202"/>
      <c r="V121" s="202" t="s">
        <v>32</v>
      </c>
      <c r="W121" s="202"/>
      <c r="X121" s="202"/>
      <c r="Y121" s="202" t="s">
        <v>33</v>
      </c>
      <c r="Z121" s="202"/>
      <c r="AB121" s="201"/>
      <c r="AC121" s="207"/>
      <c r="AE121" s="201"/>
    </row>
    <row r="122" spans="1:31" ht="21" customHeight="1">
      <c r="A122" s="259" t="s">
        <v>266</v>
      </c>
      <c r="B122" s="202" t="s">
        <v>75</v>
      </c>
      <c r="C122" s="202" t="s">
        <v>27</v>
      </c>
      <c r="D122" s="276">
        <v>121</v>
      </c>
      <c r="E122" s="202">
        <v>120</v>
      </c>
      <c r="F122" s="202" t="s">
        <v>288</v>
      </c>
      <c r="G122" s="203"/>
      <c r="H122" s="202"/>
      <c r="I122" s="202"/>
      <c r="J122" s="202" t="s">
        <v>30</v>
      </c>
      <c r="K122" s="202"/>
      <c r="L122" s="204"/>
      <c r="M122" s="202" t="s">
        <v>30</v>
      </c>
      <c r="N122" s="202"/>
      <c r="O122" s="202"/>
      <c r="P122" s="202"/>
      <c r="Q122" s="203"/>
      <c r="R122" s="205"/>
      <c r="S122" s="203"/>
      <c r="T122" s="210"/>
      <c r="U122" s="202"/>
      <c r="V122" s="202" t="s">
        <v>32</v>
      </c>
      <c r="W122" s="202"/>
      <c r="X122" s="202"/>
      <c r="Y122" s="202" t="s">
        <v>33</v>
      </c>
      <c r="Z122" s="202"/>
      <c r="AB122" s="201"/>
      <c r="AC122" s="207"/>
      <c r="AE122" s="201"/>
    </row>
    <row r="123" spans="1:31" ht="21" customHeight="1">
      <c r="A123" s="259" t="s">
        <v>266</v>
      </c>
      <c r="B123" s="202" t="s">
        <v>75</v>
      </c>
      <c r="C123" s="202" t="s">
        <v>27</v>
      </c>
      <c r="D123" s="276">
        <v>122</v>
      </c>
      <c r="E123" s="202">
        <v>121</v>
      </c>
      <c r="F123" s="202" t="s">
        <v>289</v>
      </c>
      <c r="G123" s="203"/>
      <c r="H123" s="202"/>
      <c r="I123" s="202"/>
      <c r="J123" s="202" t="s">
        <v>30</v>
      </c>
      <c r="K123" s="202"/>
      <c r="L123" s="204"/>
      <c r="M123" s="202" t="s">
        <v>30</v>
      </c>
      <c r="N123" s="202"/>
      <c r="O123" s="202"/>
      <c r="P123" s="202"/>
      <c r="Q123" s="203"/>
      <c r="R123" s="205"/>
      <c r="S123" s="203"/>
      <c r="T123" s="210"/>
      <c r="U123" s="202"/>
      <c r="V123" s="202" t="s">
        <v>32</v>
      </c>
      <c r="W123" s="202"/>
      <c r="X123" s="202"/>
      <c r="Y123" s="202" t="s">
        <v>33</v>
      </c>
      <c r="Z123" s="202"/>
      <c r="AB123" s="201"/>
      <c r="AC123" s="207"/>
      <c r="AE123" s="201"/>
    </row>
    <row r="124" spans="1:31" ht="21" customHeight="1">
      <c r="A124" s="259" t="s">
        <v>266</v>
      </c>
      <c r="B124" s="202" t="s">
        <v>50</v>
      </c>
      <c r="C124" s="202" t="s">
        <v>27</v>
      </c>
      <c r="D124" s="276">
        <v>123</v>
      </c>
      <c r="E124" s="202">
        <v>122</v>
      </c>
      <c r="F124" s="202" t="s">
        <v>290</v>
      </c>
      <c r="G124" s="203"/>
      <c r="H124" s="202" t="s">
        <v>291</v>
      </c>
      <c r="I124" s="202" t="s">
        <v>30</v>
      </c>
      <c r="J124" s="202"/>
      <c r="K124" s="202" t="s">
        <v>30</v>
      </c>
      <c r="L124" s="204"/>
      <c r="M124" s="202" t="s">
        <v>30</v>
      </c>
      <c r="N124" s="202"/>
      <c r="O124" s="202"/>
      <c r="P124" s="202" t="s">
        <v>14</v>
      </c>
      <c r="Q124" s="203"/>
      <c r="R124" s="205"/>
      <c r="S124" s="203"/>
      <c r="T124" s="210"/>
      <c r="U124" s="202" t="s">
        <v>48</v>
      </c>
      <c r="V124" s="202"/>
      <c r="W124" s="202" t="s">
        <v>54</v>
      </c>
      <c r="X124" s="202"/>
      <c r="Y124" s="202" t="s">
        <v>33</v>
      </c>
      <c r="Z124" s="202"/>
      <c r="AB124" s="201"/>
      <c r="AC124" s="207"/>
      <c r="AE124" s="201"/>
    </row>
    <row r="125" spans="1:31" ht="21" customHeight="1">
      <c r="A125" s="259" t="s">
        <v>266</v>
      </c>
      <c r="B125" s="202" t="s">
        <v>75</v>
      </c>
      <c r="C125" s="202" t="s">
        <v>27</v>
      </c>
      <c r="D125" s="276">
        <v>124</v>
      </c>
      <c r="E125" s="202">
        <v>123</v>
      </c>
      <c r="F125" s="202" t="s">
        <v>292</v>
      </c>
      <c r="G125" s="203"/>
      <c r="H125" s="202"/>
      <c r="I125" s="202" t="s">
        <v>30</v>
      </c>
      <c r="J125" s="202"/>
      <c r="K125" s="202"/>
      <c r="L125" s="204" t="s">
        <v>30</v>
      </c>
      <c r="M125" s="202"/>
      <c r="N125" s="202"/>
      <c r="O125" s="202"/>
      <c r="P125" s="202"/>
      <c r="Q125" s="203"/>
      <c r="R125" s="205"/>
      <c r="S125" s="203"/>
      <c r="T125" s="210"/>
      <c r="U125" s="202" t="s">
        <v>48</v>
      </c>
      <c r="V125" s="202"/>
      <c r="W125" s="202"/>
      <c r="X125" s="202" t="s">
        <v>49</v>
      </c>
      <c r="Y125" s="202"/>
      <c r="Z125" s="202"/>
      <c r="AB125" s="201"/>
      <c r="AC125" s="207"/>
      <c r="AE125" s="201"/>
    </row>
    <row r="126" spans="1:31" ht="21" customHeight="1">
      <c r="A126" s="259" t="s">
        <v>266</v>
      </c>
      <c r="B126" s="202" t="s">
        <v>75</v>
      </c>
      <c r="C126" s="202" t="s">
        <v>27</v>
      </c>
      <c r="D126" s="276">
        <v>125</v>
      </c>
      <c r="E126" s="202">
        <v>124</v>
      </c>
      <c r="F126" s="202" t="s">
        <v>293</v>
      </c>
      <c r="G126" s="203"/>
      <c r="H126" s="202"/>
      <c r="I126" s="202" t="s">
        <v>30</v>
      </c>
      <c r="J126" s="202"/>
      <c r="K126" s="202"/>
      <c r="L126" s="204" t="s">
        <v>30</v>
      </c>
      <c r="M126" s="202"/>
      <c r="N126" s="202"/>
      <c r="O126" s="202"/>
      <c r="P126" s="202"/>
      <c r="Q126" s="203"/>
      <c r="R126" s="205"/>
      <c r="S126" s="203"/>
      <c r="T126" s="210"/>
      <c r="U126" s="202" t="s">
        <v>48</v>
      </c>
      <c r="V126" s="202"/>
      <c r="W126" s="202"/>
      <c r="X126" s="202" t="s">
        <v>49</v>
      </c>
      <c r="Y126" s="202"/>
      <c r="Z126" s="202"/>
      <c r="AB126" s="201"/>
      <c r="AC126" s="207"/>
      <c r="AE126" s="201"/>
    </row>
    <row r="127" spans="1:31" ht="21" customHeight="1">
      <c r="A127" s="259" t="s">
        <v>266</v>
      </c>
      <c r="B127" s="202" t="s">
        <v>75</v>
      </c>
      <c r="C127" s="202" t="s">
        <v>27</v>
      </c>
      <c r="D127" s="276">
        <v>126</v>
      </c>
      <c r="E127" s="202">
        <v>125</v>
      </c>
      <c r="F127" s="202" t="s">
        <v>294</v>
      </c>
      <c r="G127" s="203"/>
      <c r="H127" s="202"/>
      <c r="I127" s="202" t="s">
        <v>30</v>
      </c>
      <c r="J127" s="202"/>
      <c r="K127" s="202"/>
      <c r="L127" s="204" t="s">
        <v>30</v>
      </c>
      <c r="M127" s="202"/>
      <c r="N127" s="202"/>
      <c r="O127" s="202"/>
      <c r="P127" s="202"/>
      <c r="Q127" s="203"/>
      <c r="R127" s="205" t="s">
        <v>295</v>
      </c>
      <c r="S127" s="203"/>
      <c r="T127" s="210"/>
      <c r="U127" s="202" t="s">
        <v>48</v>
      </c>
      <c r="V127" s="202"/>
      <c r="W127" s="202"/>
      <c r="X127" s="202" t="s">
        <v>49</v>
      </c>
      <c r="Y127" s="202"/>
      <c r="Z127" s="202"/>
      <c r="AB127" s="201"/>
      <c r="AC127" s="207"/>
      <c r="AE127" s="201"/>
    </row>
    <row r="128" spans="1:31" ht="21" customHeight="1">
      <c r="A128" s="259" t="s">
        <v>266</v>
      </c>
      <c r="B128" s="202" t="s">
        <v>75</v>
      </c>
      <c r="C128" s="202" t="s">
        <v>27</v>
      </c>
      <c r="D128" s="276">
        <v>127</v>
      </c>
      <c r="E128" s="202">
        <v>126</v>
      </c>
      <c r="F128" s="202" t="s">
        <v>296</v>
      </c>
      <c r="G128" s="203"/>
      <c r="H128" s="202" t="s">
        <v>184</v>
      </c>
      <c r="I128" s="202" t="s">
        <v>30</v>
      </c>
      <c r="J128" s="202"/>
      <c r="K128" s="202"/>
      <c r="L128" s="204" t="s">
        <v>30</v>
      </c>
      <c r="M128" s="202"/>
      <c r="N128" s="202"/>
      <c r="O128" s="202"/>
      <c r="P128" s="202" t="s">
        <v>14</v>
      </c>
      <c r="Q128" s="203"/>
      <c r="R128" s="205" t="s">
        <v>185</v>
      </c>
      <c r="S128" s="203"/>
      <c r="T128" s="210"/>
      <c r="U128" s="202" t="s">
        <v>48</v>
      </c>
      <c r="V128" s="202"/>
      <c r="W128" s="202"/>
      <c r="X128" s="202" t="s">
        <v>49</v>
      </c>
      <c r="Y128" s="202"/>
      <c r="Z128" s="202"/>
      <c r="AB128" s="201"/>
      <c r="AC128" s="207"/>
      <c r="AE128" s="201"/>
    </row>
    <row r="129" spans="1:37" ht="21" customHeight="1">
      <c r="A129" s="259" t="s">
        <v>266</v>
      </c>
      <c r="B129" s="202" t="s">
        <v>50</v>
      </c>
      <c r="C129" s="202" t="s">
        <v>27</v>
      </c>
      <c r="D129" s="276">
        <v>128</v>
      </c>
      <c r="E129" s="202">
        <v>127</v>
      </c>
      <c r="F129" s="202" t="s">
        <v>297</v>
      </c>
      <c r="G129" s="203" t="s">
        <v>52</v>
      </c>
      <c r="H129" s="202" t="s">
        <v>298</v>
      </c>
      <c r="I129" s="202" t="s">
        <v>30</v>
      </c>
      <c r="J129" s="202" t="s">
        <v>30</v>
      </c>
      <c r="K129" s="202" t="s">
        <v>30</v>
      </c>
      <c r="L129" s="204" t="s">
        <v>30</v>
      </c>
      <c r="M129" s="202" t="s">
        <v>30</v>
      </c>
      <c r="N129" s="202" t="s">
        <v>53</v>
      </c>
      <c r="O129" s="202"/>
      <c r="P129" s="202"/>
      <c r="Q129" s="203" t="s">
        <v>36</v>
      </c>
      <c r="R129" s="205"/>
      <c r="S129" s="203"/>
      <c r="T129" s="210"/>
      <c r="U129" s="202" t="s">
        <v>48</v>
      </c>
      <c r="V129" s="202" t="s">
        <v>32</v>
      </c>
      <c r="W129" s="202" t="s">
        <v>54</v>
      </c>
      <c r="X129" s="202" t="s">
        <v>49</v>
      </c>
      <c r="Y129" s="202" t="s">
        <v>33</v>
      </c>
      <c r="Z129" s="202" t="s">
        <v>55</v>
      </c>
      <c r="AB129" s="201"/>
      <c r="AC129" s="207"/>
      <c r="AE129" s="201"/>
    </row>
    <row r="130" spans="1:37" ht="21" customHeight="1">
      <c r="A130" s="259" t="s">
        <v>266</v>
      </c>
      <c r="B130" s="202" t="s">
        <v>75</v>
      </c>
      <c r="C130" s="202" t="s">
        <v>27</v>
      </c>
      <c r="D130" s="276">
        <v>129</v>
      </c>
      <c r="E130" s="202">
        <v>128</v>
      </c>
      <c r="F130" s="202" t="s">
        <v>299</v>
      </c>
      <c r="G130" s="203"/>
      <c r="H130" s="202"/>
      <c r="I130" s="202" t="s">
        <v>30</v>
      </c>
      <c r="J130" s="202"/>
      <c r="K130" s="202"/>
      <c r="L130" s="204" t="s">
        <v>30</v>
      </c>
      <c r="M130" s="202"/>
      <c r="N130" s="202"/>
      <c r="O130" s="202"/>
      <c r="P130" s="202"/>
      <c r="Q130" s="203"/>
      <c r="R130" s="205"/>
      <c r="S130" s="203"/>
      <c r="T130" s="210"/>
      <c r="U130" s="202" t="s">
        <v>48</v>
      </c>
      <c r="V130" s="202"/>
      <c r="W130" s="202"/>
      <c r="X130" s="202" t="s">
        <v>49</v>
      </c>
      <c r="Y130" s="202"/>
      <c r="Z130" s="202"/>
      <c r="AB130" s="201"/>
      <c r="AC130" s="207"/>
      <c r="AE130" s="201"/>
    </row>
    <row r="131" spans="1:37" ht="21" customHeight="1">
      <c r="A131" s="259" t="s">
        <v>266</v>
      </c>
      <c r="B131" s="202" t="s">
        <v>131</v>
      </c>
      <c r="C131" s="202" t="s">
        <v>27</v>
      </c>
      <c r="D131" s="276">
        <v>130</v>
      </c>
      <c r="E131" s="202">
        <v>129</v>
      </c>
      <c r="F131" s="202" t="s">
        <v>300</v>
      </c>
      <c r="G131" s="203"/>
      <c r="H131" s="202" t="s">
        <v>301</v>
      </c>
      <c r="I131" s="202"/>
      <c r="J131" s="202"/>
      <c r="K131" s="202"/>
      <c r="L131" s="204" t="s">
        <v>30</v>
      </c>
      <c r="M131" s="202"/>
      <c r="N131" s="202"/>
      <c r="O131" s="202"/>
      <c r="P131" s="202"/>
      <c r="Q131" s="203"/>
      <c r="R131" s="205"/>
      <c r="S131" s="203"/>
      <c r="T131" s="210"/>
      <c r="U131" s="202"/>
      <c r="V131" s="202"/>
      <c r="W131" s="202"/>
      <c r="X131" s="202" t="s">
        <v>49</v>
      </c>
      <c r="Y131" s="202"/>
      <c r="Z131" s="202"/>
      <c r="AB131" s="201"/>
      <c r="AC131" s="207"/>
      <c r="AE131" s="201"/>
    </row>
    <row r="132" spans="1:37" ht="21" customHeight="1">
      <c r="A132" s="259" t="s">
        <v>266</v>
      </c>
      <c r="B132" s="202" t="s">
        <v>50</v>
      </c>
      <c r="C132" s="202" t="s">
        <v>27</v>
      </c>
      <c r="D132" s="276">
        <v>131</v>
      </c>
      <c r="E132" s="202">
        <v>130</v>
      </c>
      <c r="F132" s="202" t="s">
        <v>302</v>
      </c>
      <c r="G132" s="203"/>
      <c r="H132" s="202"/>
      <c r="I132" s="202"/>
      <c r="J132" s="202"/>
      <c r="K132" s="202"/>
      <c r="L132" s="204" t="s">
        <v>30</v>
      </c>
      <c r="M132" s="202"/>
      <c r="N132" s="202"/>
      <c r="O132" s="202"/>
      <c r="P132" s="202"/>
      <c r="Q132" s="203"/>
      <c r="R132" s="205"/>
      <c r="S132" s="203"/>
      <c r="T132" s="210"/>
      <c r="U132" s="202" t="s">
        <v>48</v>
      </c>
      <c r="V132" s="202"/>
      <c r="W132" s="202"/>
      <c r="X132" s="202" t="s">
        <v>49</v>
      </c>
      <c r="Y132" s="202"/>
      <c r="Z132" s="202"/>
      <c r="AB132" s="201"/>
      <c r="AC132" s="207"/>
      <c r="AE132" s="201"/>
    </row>
    <row r="133" spans="1:37" ht="21" customHeight="1">
      <c r="A133" s="259" t="s">
        <v>266</v>
      </c>
      <c r="B133" s="202" t="s">
        <v>102</v>
      </c>
      <c r="C133" s="202" t="s">
        <v>27</v>
      </c>
      <c r="D133" s="276">
        <v>132</v>
      </c>
      <c r="E133" s="202">
        <v>131</v>
      </c>
      <c r="F133" s="202" t="s">
        <v>303</v>
      </c>
      <c r="G133" s="203" t="s">
        <v>104</v>
      </c>
      <c r="H133" s="202"/>
      <c r="I133" s="202" t="s">
        <v>30</v>
      </c>
      <c r="J133" s="202" t="s">
        <v>30</v>
      </c>
      <c r="K133" s="202"/>
      <c r="L133" s="204" t="s">
        <v>30</v>
      </c>
      <c r="M133" s="202" t="s">
        <v>30</v>
      </c>
      <c r="N133" s="202" t="s">
        <v>53</v>
      </c>
      <c r="O133" s="202"/>
      <c r="P133" s="202"/>
      <c r="Q133" s="203"/>
      <c r="R133" s="205"/>
      <c r="S133" s="203"/>
      <c r="T133" s="210"/>
      <c r="U133" s="202" t="s">
        <v>48</v>
      </c>
      <c r="V133" s="202" t="s">
        <v>32</v>
      </c>
      <c r="W133" s="202"/>
      <c r="X133" s="202" t="s">
        <v>49</v>
      </c>
      <c r="Y133" s="202" t="s">
        <v>33</v>
      </c>
      <c r="Z133" s="202" t="s">
        <v>55</v>
      </c>
      <c r="AB133" s="201"/>
      <c r="AC133" s="207"/>
      <c r="AE133" s="201"/>
    </row>
    <row r="134" spans="1:37" ht="21" customHeight="1">
      <c r="A134" s="259" t="s">
        <v>266</v>
      </c>
      <c r="B134" s="202" t="s">
        <v>75</v>
      </c>
      <c r="C134" s="202" t="s">
        <v>27</v>
      </c>
      <c r="D134" s="276">
        <v>133</v>
      </c>
      <c r="E134" s="202">
        <v>132</v>
      </c>
      <c r="F134" s="202" t="s">
        <v>304</v>
      </c>
      <c r="G134" s="203"/>
      <c r="H134" s="202"/>
      <c r="I134" s="203" t="s">
        <v>30</v>
      </c>
      <c r="J134" s="202"/>
      <c r="K134" s="202"/>
      <c r="L134" s="204" t="s">
        <v>30</v>
      </c>
      <c r="M134" s="202"/>
      <c r="N134" s="203"/>
      <c r="O134" s="202"/>
      <c r="P134" s="202"/>
      <c r="Q134" s="203"/>
      <c r="R134" s="205"/>
      <c r="S134" s="203"/>
      <c r="T134" s="210"/>
      <c r="U134" s="203" t="s">
        <v>48</v>
      </c>
      <c r="V134" s="202"/>
      <c r="W134" s="202"/>
      <c r="X134" s="203" t="s">
        <v>49</v>
      </c>
      <c r="Y134" s="202"/>
      <c r="Z134" s="202"/>
      <c r="AB134" s="201"/>
      <c r="AC134" s="207"/>
      <c r="AE134" s="201"/>
    </row>
    <row r="135" spans="1:37" ht="21" customHeight="1">
      <c r="A135" s="259" t="s">
        <v>266</v>
      </c>
      <c r="B135" s="202" t="s">
        <v>75</v>
      </c>
      <c r="C135" s="202" t="s">
        <v>27</v>
      </c>
      <c r="D135" s="276">
        <v>134</v>
      </c>
      <c r="E135" s="202">
        <v>133</v>
      </c>
      <c r="F135" s="202" t="s">
        <v>305</v>
      </c>
      <c r="G135" s="203"/>
      <c r="H135" s="202" t="s">
        <v>306</v>
      </c>
      <c r="I135" s="202" t="s">
        <v>30</v>
      </c>
      <c r="J135" s="202"/>
      <c r="K135" s="202"/>
      <c r="L135" s="204" t="s">
        <v>30</v>
      </c>
      <c r="M135" s="202"/>
      <c r="N135" s="202"/>
      <c r="O135" s="202"/>
      <c r="P135" s="202"/>
      <c r="Q135" s="203"/>
      <c r="R135" s="205"/>
      <c r="S135" s="203"/>
      <c r="T135" s="210"/>
      <c r="U135" s="202" t="s">
        <v>48</v>
      </c>
      <c r="V135" s="202"/>
      <c r="W135" s="202"/>
      <c r="X135" s="202" t="s">
        <v>49</v>
      </c>
      <c r="Y135" s="202"/>
      <c r="Z135" s="202"/>
      <c r="AB135" s="201"/>
      <c r="AC135" s="207"/>
      <c r="AE135" s="201"/>
    </row>
    <row r="136" spans="1:37" ht="21" customHeight="1">
      <c r="A136" s="259" t="s">
        <v>266</v>
      </c>
      <c r="B136" s="202" t="s">
        <v>75</v>
      </c>
      <c r="C136" s="202" t="s">
        <v>27</v>
      </c>
      <c r="D136" s="276">
        <v>135</v>
      </c>
      <c r="E136" s="202">
        <v>134</v>
      </c>
      <c r="F136" s="202" t="s">
        <v>307</v>
      </c>
      <c r="G136" s="203"/>
      <c r="H136" s="202"/>
      <c r="I136" s="202" t="s">
        <v>30</v>
      </c>
      <c r="J136" s="202"/>
      <c r="K136" s="202"/>
      <c r="L136" s="204" t="s">
        <v>30</v>
      </c>
      <c r="M136" s="202"/>
      <c r="N136" s="202"/>
      <c r="O136" s="202"/>
      <c r="P136" s="202"/>
      <c r="Q136" s="203"/>
      <c r="R136" s="205"/>
      <c r="S136" s="203"/>
      <c r="T136" s="210"/>
      <c r="U136" s="202" t="s">
        <v>48</v>
      </c>
      <c r="V136" s="202"/>
      <c r="W136" s="202"/>
      <c r="X136" s="202" t="s">
        <v>49</v>
      </c>
      <c r="Y136" s="202"/>
      <c r="Z136" s="202"/>
      <c r="AB136" s="201"/>
      <c r="AC136" s="208" t="s">
        <v>37</v>
      </c>
      <c r="AD136" s="209" t="s">
        <v>242</v>
      </c>
      <c r="AE136" s="209" t="s">
        <v>243</v>
      </c>
      <c r="AF136" s="209" t="s">
        <v>244</v>
      </c>
      <c r="AG136" s="209" t="s">
        <v>245</v>
      </c>
      <c r="AH136" s="209" t="s">
        <v>246</v>
      </c>
      <c r="AI136" s="209" t="s">
        <v>247</v>
      </c>
      <c r="AJ136" s="209" t="s">
        <v>248</v>
      </c>
      <c r="AK136" s="209" t="s">
        <v>249</v>
      </c>
    </row>
    <row r="137" spans="1:37" ht="21" customHeight="1">
      <c r="A137" s="259" t="s">
        <v>266</v>
      </c>
      <c r="B137" s="202" t="s">
        <v>98</v>
      </c>
      <c r="C137" s="202" t="s">
        <v>27</v>
      </c>
      <c r="D137" s="276">
        <v>136</v>
      </c>
      <c r="E137" s="202">
        <v>135</v>
      </c>
      <c r="F137" s="202" t="s">
        <v>308</v>
      </c>
      <c r="G137" s="203"/>
      <c r="H137" s="202" t="s">
        <v>309</v>
      </c>
      <c r="I137" s="202"/>
      <c r="J137" s="202" t="s">
        <v>30</v>
      </c>
      <c r="K137" s="202"/>
      <c r="L137" s="204"/>
      <c r="M137" s="202" t="s">
        <v>30</v>
      </c>
      <c r="N137" s="202"/>
      <c r="O137" s="202"/>
      <c r="P137" s="202"/>
      <c r="Q137" s="203"/>
      <c r="R137" s="205"/>
      <c r="S137" s="203"/>
      <c r="T137" s="210"/>
      <c r="U137" s="202"/>
      <c r="V137" s="202" t="s">
        <v>32</v>
      </c>
      <c r="W137" s="202"/>
      <c r="X137" s="202"/>
      <c r="Y137" s="202" t="s">
        <v>33</v>
      </c>
      <c r="Z137" s="202"/>
      <c r="AB137" s="201"/>
      <c r="AC137" s="208"/>
      <c r="AD137" s="209"/>
      <c r="AE137" s="209"/>
      <c r="AF137" s="209"/>
      <c r="AG137" s="209"/>
      <c r="AH137" s="209"/>
      <c r="AI137" s="209"/>
      <c r="AJ137" s="209"/>
      <c r="AK137" s="209"/>
    </row>
    <row r="138" spans="1:37" ht="21" customHeight="1">
      <c r="A138" s="259" t="s">
        <v>266</v>
      </c>
      <c r="B138" s="202" t="s">
        <v>75</v>
      </c>
      <c r="C138" s="202" t="s">
        <v>27</v>
      </c>
      <c r="D138" s="276">
        <v>137</v>
      </c>
      <c r="E138" s="202">
        <v>136</v>
      </c>
      <c r="F138" s="202" t="s">
        <v>310</v>
      </c>
      <c r="G138" s="203"/>
      <c r="H138" s="202"/>
      <c r="I138" s="202" t="s">
        <v>30</v>
      </c>
      <c r="J138" s="202"/>
      <c r="K138" s="202"/>
      <c r="L138" s="204" t="s">
        <v>30</v>
      </c>
      <c r="M138" s="202"/>
      <c r="N138" s="202"/>
      <c r="O138" s="202"/>
      <c r="P138" s="202"/>
      <c r="Q138" s="203"/>
      <c r="R138" s="205"/>
      <c r="S138" s="203"/>
      <c r="T138" s="210"/>
      <c r="U138" s="202" t="s">
        <v>48</v>
      </c>
      <c r="V138" s="202"/>
      <c r="W138" s="202"/>
      <c r="X138" s="202" t="s">
        <v>49</v>
      </c>
      <c r="Y138" s="202"/>
      <c r="Z138" s="202"/>
      <c r="AB138" s="201"/>
      <c r="AC138" s="208" t="str">
        <f t="shared" ref="AC138:AK138" si="9">AC229</f>
        <v>#</v>
      </c>
      <c r="AD138" s="209" t="str">
        <f t="shared" si="9"/>
        <v>月曜</v>
      </c>
      <c r="AE138" s="209" t="str">
        <f t="shared" si="9"/>
        <v>火曜</v>
      </c>
      <c r="AF138" s="209" t="str">
        <f t="shared" si="9"/>
        <v>木曜段紙</v>
      </c>
      <c r="AG138" s="209" t="str">
        <f t="shared" si="9"/>
        <v>水曜金属</v>
      </c>
      <c r="AH138" s="209" t="str">
        <f t="shared" si="9"/>
        <v>水曜</v>
      </c>
      <c r="AI138" s="209" t="str">
        <f t="shared" si="9"/>
        <v>木曜</v>
      </c>
      <c r="AJ138" s="209" t="str">
        <f t="shared" si="9"/>
        <v>金曜</v>
      </c>
      <c r="AK138" s="209" t="str">
        <f t="shared" si="9"/>
        <v>土曜</v>
      </c>
    </row>
    <row r="139" spans="1:37" ht="21" customHeight="1">
      <c r="A139" s="259" t="s">
        <v>266</v>
      </c>
      <c r="B139" s="202" t="s">
        <v>95</v>
      </c>
      <c r="C139" s="202" t="s">
        <v>27</v>
      </c>
      <c r="D139" s="276">
        <v>138</v>
      </c>
      <c r="E139" s="202">
        <v>137</v>
      </c>
      <c r="F139" s="202" t="s">
        <v>311</v>
      </c>
      <c r="G139" s="203" t="s">
        <v>52</v>
      </c>
      <c r="H139" s="202" t="s">
        <v>312</v>
      </c>
      <c r="I139" s="202"/>
      <c r="J139" s="202" t="s">
        <v>30</v>
      </c>
      <c r="K139" s="202"/>
      <c r="L139" s="204"/>
      <c r="M139" s="202" t="s">
        <v>30</v>
      </c>
      <c r="N139" s="202"/>
      <c r="O139" s="202"/>
      <c r="P139" s="202" t="s">
        <v>14</v>
      </c>
      <c r="Q139" s="203"/>
      <c r="R139" s="205"/>
      <c r="S139" s="203"/>
      <c r="T139" s="210"/>
      <c r="U139" s="202"/>
      <c r="V139" s="202" t="s">
        <v>32</v>
      </c>
      <c r="W139" s="202"/>
      <c r="X139" s="202"/>
      <c r="Y139" s="202" t="s">
        <v>33</v>
      </c>
      <c r="Z139" s="202"/>
      <c r="AB139" s="201"/>
      <c r="AC139" s="208"/>
      <c r="AD139" s="209"/>
      <c r="AE139" s="209"/>
      <c r="AF139" s="209"/>
      <c r="AG139" s="209"/>
      <c r="AH139" s="209"/>
      <c r="AI139" s="209"/>
      <c r="AJ139" s="209"/>
      <c r="AK139" s="209"/>
    </row>
    <row r="140" spans="1:37" ht="21" customHeight="1">
      <c r="A140" s="259" t="s">
        <v>266</v>
      </c>
      <c r="B140" s="202" t="s">
        <v>75</v>
      </c>
      <c r="C140" s="202" t="s">
        <v>27</v>
      </c>
      <c r="D140" s="276">
        <v>139</v>
      </c>
      <c r="E140" s="202">
        <v>138</v>
      </c>
      <c r="F140" s="202" t="s">
        <v>313</v>
      </c>
      <c r="G140" s="203"/>
      <c r="H140" s="202"/>
      <c r="I140" s="202" t="s">
        <v>30</v>
      </c>
      <c r="J140" s="202"/>
      <c r="K140" s="202"/>
      <c r="L140" s="204" t="s">
        <v>30</v>
      </c>
      <c r="M140" s="202"/>
      <c r="N140" s="202"/>
      <c r="O140" s="202"/>
      <c r="P140" s="202"/>
      <c r="Q140" s="203"/>
      <c r="R140" s="205"/>
      <c r="S140" s="203"/>
      <c r="T140" s="210"/>
      <c r="U140" s="202" t="s">
        <v>48</v>
      </c>
      <c r="V140" s="202"/>
      <c r="W140" s="202"/>
      <c r="X140" s="202" t="s">
        <v>49</v>
      </c>
      <c r="Y140" s="202"/>
      <c r="Z140" s="202"/>
      <c r="AB140" s="201"/>
      <c r="AC140" s="208" t="str">
        <f t="shared" ref="AC140:AK140" si="10">AC4</f>
        <v>段紙</v>
      </c>
      <c r="AD140" s="209">
        <f t="shared" si="10"/>
        <v>2</v>
      </c>
      <c r="AE140" s="209">
        <f t="shared" si="10"/>
        <v>0</v>
      </c>
      <c r="AF140" s="209">
        <f t="shared" si="10"/>
        <v>2</v>
      </c>
      <c r="AG140" s="209">
        <f t="shared" si="10"/>
        <v>2</v>
      </c>
      <c r="AH140" s="209">
        <f t="shared" si="10"/>
        <v>0</v>
      </c>
      <c r="AI140" s="209">
        <f t="shared" si="10"/>
        <v>2</v>
      </c>
      <c r="AJ140" s="209">
        <f t="shared" si="10"/>
        <v>0</v>
      </c>
      <c r="AK140" s="209">
        <f t="shared" si="10"/>
        <v>0</v>
      </c>
    </row>
    <row r="141" spans="1:37" ht="21" customHeight="1">
      <c r="A141" s="259" t="s">
        <v>266</v>
      </c>
      <c r="B141" s="202" t="s">
        <v>26</v>
      </c>
      <c r="C141" s="202" t="s">
        <v>27</v>
      </c>
      <c r="D141" s="276">
        <v>140</v>
      </c>
      <c r="E141" s="202">
        <v>139</v>
      </c>
      <c r="F141" s="202" t="s">
        <v>314</v>
      </c>
      <c r="G141" s="203" t="s">
        <v>104</v>
      </c>
      <c r="H141" s="202" t="s">
        <v>315</v>
      </c>
      <c r="I141" s="202" t="s">
        <v>30</v>
      </c>
      <c r="J141" s="202"/>
      <c r="K141" s="202" t="s">
        <v>30</v>
      </c>
      <c r="L141" s="204"/>
      <c r="M141" s="202" t="s">
        <v>30</v>
      </c>
      <c r="N141" s="202"/>
      <c r="O141" s="202"/>
      <c r="P141" s="202" t="s">
        <v>14</v>
      </c>
      <c r="Q141" s="203"/>
      <c r="R141" s="205"/>
      <c r="S141" s="203"/>
      <c r="T141" s="202"/>
      <c r="U141" s="202" t="s">
        <v>48</v>
      </c>
      <c r="V141" s="202"/>
      <c r="W141" s="202" t="s">
        <v>54</v>
      </c>
      <c r="X141" s="202"/>
      <c r="Y141" s="202" t="s">
        <v>33</v>
      </c>
      <c r="Z141" s="202"/>
      <c r="AB141" s="201"/>
      <c r="AC141" s="208" t="str">
        <f t="shared" ref="AC141:AK141" si="11">AC7</f>
        <v>金属</v>
      </c>
      <c r="AD141" s="209">
        <f t="shared" si="11"/>
        <v>0</v>
      </c>
      <c r="AE141" s="209">
        <f t="shared" si="11"/>
        <v>0</v>
      </c>
      <c r="AF141" s="209">
        <f t="shared" si="11"/>
        <v>0</v>
      </c>
      <c r="AG141" s="209">
        <f t="shared" si="11"/>
        <v>0</v>
      </c>
      <c r="AH141" s="209">
        <f t="shared" si="11"/>
        <v>0</v>
      </c>
      <c r="AI141" s="209">
        <f t="shared" si="11"/>
        <v>0</v>
      </c>
      <c r="AJ141" s="209">
        <f t="shared" si="11"/>
        <v>0</v>
      </c>
      <c r="AK141" s="209">
        <f t="shared" si="11"/>
        <v>67</v>
      </c>
    </row>
    <row r="142" spans="1:37" ht="21" customHeight="1">
      <c r="A142" s="256" t="s">
        <v>316</v>
      </c>
      <c r="B142" s="202" t="s">
        <v>34</v>
      </c>
      <c r="C142" s="202" t="s">
        <v>27</v>
      </c>
      <c r="D142" s="277">
        <v>141</v>
      </c>
      <c r="E142" s="202">
        <v>140</v>
      </c>
      <c r="F142" s="202" t="s">
        <v>317</v>
      </c>
      <c r="G142" s="203"/>
      <c r="H142" s="202" t="s">
        <v>318</v>
      </c>
      <c r="I142" s="202"/>
      <c r="J142" s="202"/>
      <c r="K142" s="202"/>
      <c r="L142" s="204" t="s">
        <v>30</v>
      </c>
      <c r="M142" s="202"/>
      <c r="N142" s="202"/>
      <c r="O142" s="202"/>
      <c r="P142" s="202" t="s">
        <v>14</v>
      </c>
      <c r="Q142" s="203"/>
      <c r="R142" s="205"/>
      <c r="S142" s="203"/>
      <c r="T142" s="210" t="s">
        <v>130</v>
      </c>
      <c r="U142" s="202"/>
      <c r="V142" s="202"/>
      <c r="W142" s="202"/>
      <c r="X142" s="202" t="s">
        <v>49</v>
      </c>
      <c r="Y142" s="202"/>
      <c r="Z142" s="202"/>
      <c r="AB142" s="201"/>
      <c r="AC142" s="208" t="str">
        <f t="shared" ref="AC142:AK142" si="12">AC8</f>
        <v>〇</v>
      </c>
      <c r="AD142" s="209">
        <f t="shared" si="12"/>
        <v>0</v>
      </c>
      <c r="AE142" s="209">
        <f t="shared" si="12"/>
        <v>0</v>
      </c>
      <c r="AF142" s="209">
        <f t="shared" si="12"/>
        <v>0</v>
      </c>
      <c r="AG142" s="209">
        <f t="shared" si="12"/>
        <v>0</v>
      </c>
      <c r="AH142" s="209">
        <f t="shared" si="12"/>
        <v>0</v>
      </c>
      <c r="AI142" s="209">
        <f t="shared" si="12"/>
        <v>21</v>
      </c>
      <c r="AJ142" s="209">
        <f t="shared" si="12"/>
        <v>0</v>
      </c>
      <c r="AK142" s="209">
        <f t="shared" si="12"/>
        <v>0</v>
      </c>
    </row>
    <row r="143" spans="1:37" ht="21" customHeight="1">
      <c r="A143" s="256" t="s">
        <v>316</v>
      </c>
      <c r="B143" s="202" t="s">
        <v>34</v>
      </c>
      <c r="C143" s="202" t="s">
        <v>27</v>
      </c>
      <c r="D143" s="277">
        <v>142</v>
      </c>
      <c r="E143" s="202">
        <v>141</v>
      </c>
      <c r="F143" s="202" t="s">
        <v>319</v>
      </c>
      <c r="G143" s="203"/>
      <c r="H143" s="202" t="s">
        <v>320</v>
      </c>
      <c r="I143" s="202" t="s">
        <v>30</v>
      </c>
      <c r="J143" s="202"/>
      <c r="K143" s="202"/>
      <c r="L143" s="204" t="s">
        <v>30</v>
      </c>
      <c r="M143" s="202"/>
      <c r="N143" s="202"/>
      <c r="O143" s="202"/>
      <c r="P143" s="202" t="s">
        <v>14</v>
      </c>
      <c r="Q143" s="203"/>
      <c r="R143" s="205"/>
      <c r="S143" s="203"/>
      <c r="T143" s="210"/>
      <c r="U143" s="202" t="s">
        <v>48</v>
      </c>
      <c r="V143" s="202"/>
      <c r="W143" s="202"/>
      <c r="X143" s="202" t="s">
        <v>49</v>
      </c>
      <c r="Y143" s="202"/>
      <c r="Z143" s="202"/>
      <c r="AB143" s="201"/>
      <c r="AC143" s="208" t="str">
        <f t="shared" ref="AC143:AK143" si="13">AC9</f>
        <v>N-（西山）</v>
      </c>
      <c r="AD143" s="209">
        <f t="shared" si="13"/>
        <v>60</v>
      </c>
      <c r="AE143" s="209">
        <f t="shared" si="13"/>
        <v>49</v>
      </c>
      <c r="AF143" s="209">
        <f t="shared" si="13"/>
        <v>47</v>
      </c>
      <c r="AG143" s="209">
        <f t="shared" si="13"/>
        <v>61</v>
      </c>
      <c r="AH143" s="209">
        <f t="shared" si="13"/>
        <v>61</v>
      </c>
      <c r="AI143" s="209">
        <f t="shared" si="13"/>
        <v>0</v>
      </c>
      <c r="AJ143" s="209">
        <f t="shared" si="13"/>
        <v>0</v>
      </c>
      <c r="AK143" s="209">
        <f t="shared" si="13"/>
        <v>0</v>
      </c>
    </row>
    <row r="144" spans="1:37" ht="21" customHeight="1">
      <c r="A144" s="256" t="s">
        <v>316</v>
      </c>
      <c r="B144" s="202" t="s">
        <v>73</v>
      </c>
      <c r="C144" s="202" t="s">
        <v>27</v>
      </c>
      <c r="D144" s="277">
        <v>143</v>
      </c>
      <c r="E144" s="202">
        <v>142</v>
      </c>
      <c r="F144" s="202" t="s">
        <v>321</v>
      </c>
      <c r="G144" s="203" t="s">
        <v>104</v>
      </c>
      <c r="H144" s="202" t="s">
        <v>322</v>
      </c>
      <c r="I144" s="202"/>
      <c r="J144" s="202"/>
      <c r="K144" s="202" t="s">
        <v>30</v>
      </c>
      <c r="L144" s="204"/>
      <c r="M144" s="202"/>
      <c r="N144" s="202"/>
      <c r="O144" s="202"/>
      <c r="P144" s="202"/>
      <c r="Q144" s="203"/>
      <c r="R144" s="205" t="s">
        <v>323</v>
      </c>
      <c r="S144" s="203"/>
      <c r="T144" s="210"/>
      <c r="U144" s="202" t="s">
        <v>48</v>
      </c>
      <c r="V144" s="202"/>
      <c r="W144" s="202" t="s">
        <v>54</v>
      </c>
      <c r="X144" s="202"/>
      <c r="Y144" s="202" t="s">
        <v>33</v>
      </c>
      <c r="Z144" s="202"/>
      <c r="AB144" s="201"/>
      <c r="AC144" s="208" t="str">
        <f t="shared" ref="AC144:AK144" si="14">AC10</f>
        <v>K-</v>
      </c>
      <c r="AD144" s="209">
        <f t="shared" si="14"/>
        <v>54</v>
      </c>
      <c r="AE144" s="209">
        <f t="shared" si="14"/>
        <v>60</v>
      </c>
      <c r="AF144" s="209">
        <f t="shared" si="14"/>
        <v>94</v>
      </c>
      <c r="AG144" s="209">
        <f t="shared" si="14"/>
        <v>37</v>
      </c>
      <c r="AH144" s="209">
        <f t="shared" si="14"/>
        <v>42</v>
      </c>
      <c r="AI144" s="209">
        <f t="shared" si="14"/>
        <v>0</v>
      </c>
      <c r="AJ144" s="209">
        <f t="shared" si="14"/>
        <v>0</v>
      </c>
      <c r="AK144" s="209">
        <f t="shared" si="14"/>
        <v>0</v>
      </c>
    </row>
    <row r="145" spans="1:37" ht="21" customHeight="1">
      <c r="A145" s="260" t="s">
        <v>324</v>
      </c>
      <c r="B145" s="202" t="s">
        <v>75</v>
      </c>
      <c r="C145" s="202" t="s">
        <v>27</v>
      </c>
      <c r="D145" s="278">
        <v>144</v>
      </c>
      <c r="E145" s="202">
        <v>143</v>
      </c>
      <c r="F145" s="202" t="s">
        <v>325</v>
      </c>
      <c r="G145" s="203"/>
      <c r="H145" s="202"/>
      <c r="I145" s="202"/>
      <c r="J145" s="202" t="s">
        <v>30</v>
      </c>
      <c r="K145" s="202"/>
      <c r="L145" s="204"/>
      <c r="M145" s="202" t="s">
        <v>30</v>
      </c>
      <c r="N145" s="202"/>
      <c r="O145" s="202"/>
      <c r="P145" s="202"/>
      <c r="Q145" s="203"/>
      <c r="R145" s="205"/>
      <c r="S145" s="203"/>
      <c r="T145" s="210"/>
      <c r="U145" s="202"/>
      <c r="V145" s="202" t="s">
        <v>32</v>
      </c>
      <c r="W145" s="202"/>
      <c r="X145" s="202"/>
      <c r="Y145" s="202" t="s">
        <v>33</v>
      </c>
      <c r="Z145" s="202"/>
      <c r="AB145" s="201"/>
      <c r="AC145" s="208"/>
      <c r="AD145" s="209"/>
      <c r="AE145" s="209"/>
      <c r="AF145" s="209"/>
      <c r="AG145" s="209"/>
      <c r="AH145" s="209"/>
      <c r="AI145" s="209"/>
      <c r="AJ145" s="209"/>
      <c r="AK145" s="209"/>
    </row>
    <row r="146" spans="1:37" ht="21" customHeight="1">
      <c r="A146" s="260" t="s">
        <v>324</v>
      </c>
      <c r="B146" s="202" t="s">
        <v>73</v>
      </c>
      <c r="C146" s="202" t="s">
        <v>27</v>
      </c>
      <c r="D146" s="278">
        <v>145</v>
      </c>
      <c r="E146" s="202">
        <v>144</v>
      </c>
      <c r="F146" s="202" t="s">
        <v>326</v>
      </c>
      <c r="G146" s="203"/>
      <c r="H146" s="202"/>
      <c r="I146" s="202"/>
      <c r="J146" s="202"/>
      <c r="K146" s="202"/>
      <c r="L146" s="204"/>
      <c r="M146" s="202" t="s">
        <v>30</v>
      </c>
      <c r="N146" s="202"/>
      <c r="O146" s="202"/>
      <c r="P146" s="202"/>
      <c r="Q146" s="203"/>
      <c r="R146" s="205"/>
      <c r="S146" s="203"/>
      <c r="T146" s="210"/>
      <c r="U146" s="202"/>
      <c r="V146" s="202"/>
      <c r="W146" s="202"/>
      <c r="X146" s="202"/>
      <c r="Y146" s="202" t="s">
        <v>33</v>
      </c>
      <c r="Z146" s="202"/>
      <c r="AB146" s="201"/>
      <c r="AC146" s="208" t="str">
        <f t="shared" ref="AC146:AK146" si="15">AC11</f>
        <v>M-</v>
      </c>
      <c r="AD146" s="209">
        <f t="shared" si="15"/>
        <v>0</v>
      </c>
      <c r="AE146" s="209">
        <f t="shared" si="15"/>
        <v>0</v>
      </c>
      <c r="AF146" s="209">
        <f t="shared" si="15"/>
        <v>33</v>
      </c>
      <c r="AG146" s="209">
        <f t="shared" si="15"/>
        <v>0</v>
      </c>
      <c r="AH146" s="209">
        <f t="shared" si="15"/>
        <v>0</v>
      </c>
      <c r="AI146" s="209">
        <f t="shared" si="15"/>
        <v>0</v>
      </c>
      <c r="AJ146" s="209">
        <f t="shared" si="15"/>
        <v>0</v>
      </c>
      <c r="AK146" s="209">
        <f t="shared" si="15"/>
        <v>0</v>
      </c>
    </row>
    <row r="147" spans="1:37" ht="21" customHeight="1">
      <c r="A147" s="260" t="s">
        <v>324</v>
      </c>
      <c r="B147" s="202" t="s">
        <v>75</v>
      </c>
      <c r="C147" s="202" t="s">
        <v>27</v>
      </c>
      <c r="D147" s="278">
        <v>146</v>
      </c>
      <c r="E147" s="202">
        <v>145</v>
      </c>
      <c r="F147" s="202" t="s">
        <v>327</v>
      </c>
      <c r="G147" s="203"/>
      <c r="H147" s="202" t="s">
        <v>328</v>
      </c>
      <c r="I147" s="202" t="s">
        <v>30</v>
      </c>
      <c r="J147" s="202"/>
      <c r="K147" s="202"/>
      <c r="L147" s="204" t="s">
        <v>30</v>
      </c>
      <c r="M147" s="202"/>
      <c r="N147" s="202"/>
      <c r="O147" s="202"/>
      <c r="P147" s="202" t="s">
        <v>14</v>
      </c>
      <c r="Q147" s="203"/>
      <c r="R147" s="205"/>
      <c r="S147" s="203"/>
      <c r="T147" s="210"/>
      <c r="U147" s="202" t="s">
        <v>48</v>
      </c>
      <c r="V147" s="202"/>
      <c r="W147" s="202"/>
      <c r="X147" s="202" t="s">
        <v>49</v>
      </c>
      <c r="Y147" s="202"/>
      <c r="Z147" s="202"/>
      <c r="AB147" s="201"/>
      <c r="AC147" s="208" t="str">
        <f t="shared" ref="AC147:AK147" si="16">AC12</f>
        <v>計</v>
      </c>
      <c r="AD147" s="209">
        <f t="shared" si="16"/>
        <v>116</v>
      </c>
      <c r="AE147" s="209">
        <f t="shared" si="16"/>
        <v>109</v>
      </c>
      <c r="AF147" s="209">
        <f t="shared" si="16"/>
        <v>176</v>
      </c>
      <c r="AG147" s="209">
        <f t="shared" si="16"/>
        <v>100</v>
      </c>
      <c r="AH147" s="209">
        <f t="shared" si="16"/>
        <v>103</v>
      </c>
      <c r="AI147" s="209">
        <f t="shared" si="16"/>
        <v>23</v>
      </c>
      <c r="AJ147" s="209">
        <f t="shared" si="16"/>
        <v>0</v>
      </c>
      <c r="AK147" s="209">
        <f t="shared" si="16"/>
        <v>67</v>
      </c>
    </row>
    <row r="148" spans="1:37" ht="21" customHeight="1">
      <c r="A148" s="260" t="s">
        <v>324</v>
      </c>
      <c r="B148" s="202" t="s">
        <v>98</v>
      </c>
      <c r="C148" s="202" t="s">
        <v>27</v>
      </c>
      <c r="D148" s="278">
        <v>147</v>
      </c>
      <c r="E148" s="202">
        <v>146</v>
      </c>
      <c r="F148" s="202" t="s">
        <v>329</v>
      </c>
      <c r="G148" s="203"/>
      <c r="H148" s="202" t="s">
        <v>330</v>
      </c>
      <c r="I148" s="202"/>
      <c r="J148" s="202" t="s">
        <v>30</v>
      </c>
      <c r="K148" s="202"/>
      <c r="L148" s="204"/>
      <c r="M148" s="202" t="s">
        <v>30</v>
      </c>
      <c r="N148" s="202"/>
      <c r="O148" s="202"/>
      <c r="P148" s="202"/>
      <c r="Q148" s="203"/>
      <c r="R148" s="205"/>
      <c r="S148" s="203"/>
      <c r="T148" s="210"/>
      <c r="U148" s="202"/>
      <c r="V148" s="202" t="s">
        <v>32</v>
      </c>
      <c r="W148" s="202"/>
      <c r="X148" s="202"/>
      <c r="Y148" s="202" t="s">
        <v>33</v>
      </c>
      <c r="Z148" s="202"/>
      <c r="AB148" s="201"/>
      <c r="AC148" s="207"/>
      <c r="AE148" s="201"/>
    </row>
    <row r="149" spans="1:37" ht="21" customHeight="1">
      <c r="A149" s="260" t="s">
        <v>324</v>
      </c>
      <c r="B149" s="202" t="s">
        <v>98</v>
      </c>
      <c r="C149" s="202" t="s">
        <v>27</v>
      </c>
      <c r="D149" s="278">
        <v>148</v>
      </c>
      <c r="E149" s="202">
        <v>147</v>
      </c>
      <c r="F149" s="202" t="s">
        <v>331</v>
      </c>
      <c r="G149" s="203"/>
      <c r="H149" s="202" t="s">
        <v>332</v>
      </c>
      <c r="I149" s="202"/>
      <c r="J149" s="202" t="s">
        <v>30</v>
      </c>
      <c r="K149" s="202"/>
      <c r="L149" s="204"/>
      <c r="M149" s="202"/>
      <c r="N149" s="202"/>
      <c r="O149" s="202"/>
      <c r="P149" s="202"/>
      <c r="Q149" s="203"/>
      <c r="R149" s="205"/>
      <c r="S149" s="203"/>
      <c r="T149" s="210"/>
      <c r="U149" s="202"/>
      <c r="V149" s="202" t="s">
        <v>32</v>
      </c>
      <c r="W149" s="202"/>
      <c r="X149" s="202"/>
      <c r="Y149" s="202"/>
      <c r="Z149" s="202"/>
      <c r="AB149" s="201"/>
      <c r="AC149" s="207"/>
      <c r="AE149" s="201"/>
    </row>
    <row r="150" spans="1:37" ht="21" customHeight="1">
      <c r="A150" s="260" t="s">
        <v>324</v>
      </c>
      <c r="B150" s="202" t="s">
        <v>34</v>
      </c>
      <c r="C150" s="202" t="s">
        <v>27</v>
      </c>
      <c r="D150" s="278">
        <v>149</v>
      </c>
      <c r="E150" s="202">
        <v>148</v>
      </c>
      <c r="F150" s="202" t="s">
        <v>333</v>
      </c>
      <c r="G150" s="203"/>
      <c r="H150" s="202" t="s">
        <v>334</v>
      </c>
      <c r="I150" s="202"/>
      <c r="J150" s="202" t="s">
        <v>30</v>
      </c>
      <c r="K150" s="202"/>
      <c r="L150" s="204"/>
      <c r="M150" s="202" t="s">
        <v>30</v>
      </c>
      <c r="N150" s="202"/>
      <c r="O150" s="202"/>
      <c r="P150" s="202"/>
      <c r="Q150" s="203"/>
      <c r="R150" s="205"/>
      <c r="S150" s="203"/>
      <c r="T150" s="210"/>
      <c r="U150" s="202"/>
      <c r="V150" s="202" t="s">
        <v>32</v>
      </c>
      <c r="W150" s="202"/>
      <c r="X150" s="202"/>
      <c r="Y150" s="202" t="s">
        <v>33</v>
      </c>
      <c r="Z150" s="202"/>
      <c r="AB150" s="201"/>
      <c r="AC150" s="207"/>
      <c r="AE150" s="201"/>
    </row>
    <row r="151" spans="1:37" ht="21" customHeight="1">
      <c r="A151" s="260" t="s">
        <v>324</v>
      </c>
      <c r="B151" s="202" t="s">
        <v>75</v>
      </c>
      <c r="C151" s="202" t="s">
        <v>27</v>
      </c>
      <c r="D151" s="278">
        <v>150</v>
      </c>
      <c r="E151" s="202">
        <v>149</v>
      </c>
      <c r="F151" s="202" t="s">
        <v>335</v>
      </c>
      <c r="G151" s="203"/>
      <c r="H151" s="202"/>
      <c r="I151" s="202" t="s">
        <v>30</v>
      </c>
      <c r="J151" s="202"/>
      <c r="K151" s="202"/>
      <c r="L151" s="204" t="s">
        <v>30</v>
      </c>
      <c r="M151" s="202"/>
      <c r="N151" s="202"/>
      <c r="O151" s="202"/>
      <c r="P151" s="202"/>
      <c r="Q151" s="203"/>
      <c r="R151" s="205"/>
      <c r="S151" s="203"/>
      <c r="T151" s="210"/>
      <c r="U151" s="202"/>
      <c r="V151" s="202"/>
      <c r="W151" s="202"/>
      <c r="X151" s="202" t="s">
        <v>49</v>
      </c>
      <c r="Y151" s="202"/>
      <c r="Z151" s="202"/>
      <c r="AB151" s="201"/>
      <c r="AC151" s="207"/>
      <c r="AE151" s="201"/>
    </row>
    <row r="152" spans="1:37" ht="21" customHeight="1">
      <c r="A152" s="260" t="s">
        <v>324</v>
      </c>
      <c r="B152" s="202" t="s">
        <v>50</v>
      </c>
      <c r="C152" s="202" t="s">
        <v>27</v>
      </c>
      <c r="D152" s="278">
        <v>151</v>
      </c>
      <c r="E152" s="202">
        <v>150</v>
      </c>
      <c r="F152" s="202" t="s">
        <v>336</v>
      </c>
      <c r="G152" s="203" t="s">
        <v>52</v>
      </c>
      <c r="H152" s="202" t="s">
        <v>337</v>
      </c>
      <c r="I152" s="202" t="s">
        <v>30</v>
      </c>
      <c r="J152" s="202" t="s">
        <v>30</v>
      </c>
      <c r="K152" s="202" t="s">
        <v>30</v>
      </c>
      <c r="L152" s="204" t="s">
        <v>30</v>
      </c>
      <c r="M152" s="202" t="s">
        <v>30</v>
      </c>
      <c r="N152" s="202" t="s">
        <v>53</v>
      </c>
      <c r="O152" s="202"/>
      <c r="P152" s="202"/>
      <c r="Q152" s="203"/>
      <c r="R152" s="205"/>
      <c r="S152" s="203"/>
      <c r="T152" s="210"/>
      <c r="U152" s="202" t="s">
        <v>48</v>
      </c>
      <c r="V152" s="202" t="s">
        <v>32</v>
      </c>
      <c r="W152" s="202" t="s">
        <v>54</v>
      </c>
      <c r="X152" s="202" t="s">
        <v>49</v>
      </c>
      <c r="Y152" s="202" t="s">
        <v>33</v>
      </c>
      <c r="Z152" s="202" t="s">
        <v>55</v>
      </c>
      <c r="AB152" s="201"/>
      <c r="AC152" s="207"/>
      <c r="AE152" s="201"/>
    </row>
    <row r="153" spans="1:37" ht="21" customHeight="1">
      <c r="A153" s="260" t="s">
        <v>324</v>
      </c>
      <c r="B153" s="202" t="s">
        <v>26</v>
      </c>
      <c r="C153" s="202" t="s">
        <v>27</v>
      </c>
      <c r="D153" s="278">
        <v>152</v>
      </c>
      <c r="E153" s="202">
        <v>151</v>
      </c>
      <c r="F153" s="202" t="s">
        <v>338</v>
      </c>
      <c r="G153" s="203"/>
      <c r="H153" s="202" t="s">
        <v>339</v>
      </c>
      <c r="I153" s="202" t="s">
        <v>30</v>
      </c>
      <c r="J153" s="202"/>
      <c r="K153" s="202" t="s">
        <v>30</v>
      </c>
      <c r="L153" s="204"/>
      <c r="M153" s="202" t="s">
        <v>30</v>
      </c>
      <c r="N153" s="202"/>
      <c r="O153" s="202"/>
      <c r="P153" s="202"/>
      <c r="Q153" s="203"/>
      <c r="R153" s="205"/>
      <c r="S153" s="203"/>
      <c r="T153" s="210"/>
      <c r="U153" s="202" t="s">
        <v>48</v>
      </c>
      <c r="V153" s="202"/>
      <c r="W153" s="202" t="s">
        <v>54</v>
      </c>
      <c r="X153" s="202"/>
      <c r="Y153" s="202" t="s">
        <v>33</v>
      </c>
      <c r="Z153" s="202"/>
      <c r="AB153" s="201"/>
      <c r="AC153" s="207"/>
      <c r="AE153" s="201"/>
    </row>
    <row r="154" spans="1:37" ht="21" customHeight="1">
      <c r="A154" s="260" t="s">
        <v>324</v>
      </c>
      <c r="B154" s="202" t="s">
        <v>75</v>
      </c>
      <c r="C154" s="202" t="s">
        <v>27</v>
      </c>
      <c r="D154" s="278">
        <v>153</v>
      </c>
      <c r="E154" s="202">
        <v>152</v>
      </c>
      <c r="F154" s="202" t="s">
        <v>340</v>
      </c>
      <c r="G154" s="203"/>
      <c r="H154" s="202"/>
      <c r="I154" s="202"/>
      <c r="J154" s="202"/>
      <c r="K154" s="202"/>
      <c r="L154" s="204" t="s">
        <v>30</v>
      </c>
      <c r="M154" s="202"/>
      <c r="N154" s="202"/>
      <c r="O154" s="202"/>
      <c r="P154" s="202"/>
      <c r="Q154" s="203"/>
      <c r="R154" s="205"/>
      <c r="S154" s="203"/>
      <c r="T154" s="210"/>
      <c r="U154" s="202"/>
      <c r="V154" s="202"/>
      <c r="W154" s="202"/>
      <c r="X154" s="202" t="s">
        <v>49</v>
      </c>
      <c r="Y154" s="202"/>
      <c r="Z154" s="202"/>
      <c r="AB154" s="201"/>
      <c r="AC154" s="207"/>
      <c r="AE154" s="201"/>
    </row>
    <row r="155" spans="1:37" ht="21" customHeight="1">
      <c r="A155" s="248" t="s">
        <v>341</v>
      </c>
      <c r="B155" s="202" t="s">
        <v>73</v>
      </c>
      <c r="C155" s="202" t="s">
        <v>27</v>
      </c>
      <c r="D155" s="279">
        <v>154</v>
      </c>
      <c r="E155" s="202">
        <v>153</v>
      </c>
      <c r="F155" s="202" t="s">
        <v>342</v>
      </c>
      <c r="G155" s="203"/>
      <c r="H155" s="202" t="s">
        <v>343</v>
      </c>
      <c r="I155" s="202" t="s">
        <v>30</v>
      </c>
      <c r="J155" s="202"/>
      <c r="K155" s="202"/>
      <c r="L155" s="204" t="s">
        <v>30</v>
      </c>
      <c r="M155" s="202"/>
      <c r="N155" s="202"/>
      <c r="O155" s="202"/>
      <c r="P155" s="202"/>
      <c r="Q155" s="203"/>
      <c r="R155" s="205"/>
      <c r="S155" s="203"/>
      <c r="T155" s="210"/>
      <c r="U155" s="202" t="s">
        <v>48</v>
      </c>
      <c r="V155" s="202"/>
      <c r="W155" s="202"/>
      <c r="X155" s="202" t="s">
        <v>49</v>
      </c>
      <c r="Y155" s="202"/>
      <c r="Z155" s="202"/>
      <c r="AB155" s="201"/>
      <c r="AC155" s="207"/>
      <c r="AE155" s="201"/>
    </row>
    <row r="156" spans="1:37" ht="21" customHeight="1">
      <c r="A156" s="248" t="s">
        <v>341</v>
      </c>
      <c r="B156" s="202" t="s">
        <v>73</v>
      </c>
      <c r="C156" s="202" t="s">
        <v>27</v>
      </c>
      <c r="D156" s="279">
        <v>155</v>
      </c>
      <c r="E156" s="202">
        <v>154</v>
      </c>
      <c r="F156" s="202" t="s">
        <v>344</v>
      </c>
      <c r="G156" s="203"/>
      <c r="H156" s="202"/>
      <c r="I156" s="202"/>
      <c r="J156" s="202"/>
      <c r="K156" s="202"/>
      <c r="L156" s="204"/>
      <c r="M156" s="202" t="s">
        <v>30</v>
      </c>
      <c r="N156" s="202"/>
      <c r="O156" s="202"/>
      <c r="P156" s="202"/>
      <c r="Q156" s="203"/>
      <c r="R156" s="205"/>
      <c r="S156" s="203"/>
      <c r="T156" s="210"/>
      <c r="U156" s="202"/>
      <c r="V156" s="202"/>
      <c r="W156" s="202"/>
      <c r="X156" s="202"/>
      <c r="Y156" s="202" t="s">
        <v>33</v>
      </c>
      <c r="Z156" s="202"/>
      <c r="AB156" s="201"/>
      <c r="AC156" s="207"/>
      <c r="AE156" s="201"/>
    </row>
    <row r="157" spans="1:37" ht="21" customHeight="1">
      <c r="A157" s="248" t="s">
        <v>341</v>
      </c>
      <c r="B157" s="202" t="s">
        <v>95</v>
      </c>
      <c r="C157" s="202" t="s">
        <v>27</v>
      </c>
      <c r="D157" s="279">
        <v>156</v>
      </c>
      <c r="E157" s="202">
        <v>155</v>
      </c>
      <c r="F157" s="202" t="s">
        <v>345</v>
      </c>
      <c r="G157" s="203" t="s">
        <v>52</v>
      </c>
      <c r="H157" s="202"/>
      <c r="I157" s="202" t="s">
        <v>30</v>
      </c>
      <c r="J157" s="202" t="s">
        <v>30</v>
      </c>
      <c r="K157" s="203" t="s">
        <v>30</v>
      </c>
      <c r="L157" s="204" t="s">
        <v>30</v>
      </c>
      <c r="M157" s="202" t="s">
        <v>30</v>
      </c>
      <c r="N157" s="202"/>
      <c r="O157" s="202"/>
      <c r="P157" s="202" t="s">
        <v>14</v>
      </c>
      <c r="Q157" s="203"/>
      <c r="R157" s="205"/>
      <c r="S157" s="203"/>
      <c r="T157" s="210"/>
      <c r="U157" s="202" t="s">
        <v>48</v>
      </c>
      <c r="V157" s="202" t="s">
        <v>32</v>
      </c>
      <c r="W157" s="202" t="s">
        <v>54</v>
      </c>
      <c r="X157" s="202" t="s">
        <v>49</v>
      </c>
      <c r="Y157" s="202" t="s">
        <v>33</v>
      </c>
      <c r="Z157" s="202" t="s">
        <v>55</v>
      </c>
      <c r="AB157" s="201"/>
      <c r="AC157" s="207"/>
      <c r="AE157" s="201"/>
    </row>
    <row r="158" spans="1:37" ht="21" customHeight="1">
      <c r="A158" s="248" t="s">
        <v>341</v>
      </c>
      <c r="B158" s="202" t="s">
        <v>102</v>
      </c>
      <c r="C158" s="202" t="s">
        <v>27</v>
      </c>
      <c r="D158" s="279">
        <v>157</v>
      </c>
      <c r="E158" s="202">
        <v>156</v>
      </c>
      <c r="F158" s="202" t="s">
        <v>346</v>
      </c>
      <c r="G158" s="203" t="s">
        <v>104</v>
      </c>
      <c r="H158" s="202"/>
      <c r="I158" s="202" t="s">
        <v>30</v>
      </c>
      <c r="J158" s="202" t="s">
        <v>30</v>
      </c>
      <c r="K158" s="203" t="s">
        <v>30</v>
      </c>
      <c r="L158" s="204" t="s">
        <v>30</v>
      </c>
      <c r="M158" s="202" t="s">
        <v>30</v>
      </c>
      <c r="N158" s="202" t="s">
        <v>347</v>
      </c>
      <c r="O158" s="202"/>
      <c r="P158" s="202" t="s">
        <v>14</v>
      </c>
      <c r="Q158" s="203"/>
      <c r="R158" s="205"/>
      <c r="S158" s="203"/>
      <c r="T158" s="210"/>
      <c r="U158" s="202" t="s">
        <v>48</v>
      </c>
      <c r="V158" s="202" t="s">
        <v>32</v>
      </c>
      <c r="W158" s="202" t="s">
        <v>54</v>
      </c>
      <c r="X158" s="202" t="s">
        <v>49</v>
      </c>
      <c r="Y158" s="202" t="s">
        <v>33</v>
      </c>
      <c r="Z158" s="202" t="s">
        <v>55</v>
      </c>
      <c r="AB158" s="201"/>
      <c r="AC158" s="207"/>
      <c r="AE158" s="201"/>
    </row>
    <row r="159" spans="1:37" ht="21" customHeight="1">
      <c r="A159" s="248" t="s">
        <v>341</v>
      </c>
      <c r="B159" s="202" t="s">
        <v>73</v>
      </c>
      <c r="C159" s="202" t="s">
        <v>27</v>
      </c>
      <c r="D159" s="279">
        <v>158</v>
      </c>
      <c r="E159" s="202">
        <v>157</v>
      </c>
      <c r="F159" s="202" t="s">
        <v>348</v>
      </c>
      <c r="G159" s="203"/>
      <c r="H159" s="202" t="s">
        <v>349</v>
      </c>
      <c r="I159" s="202"/>
      <c r="J159" s="202"/>
      <c r="K159" s="202"/>
      <c r="L159" s="204" t="s">
        <v>30</v>
      </c>
      <c r="M159" s="202"/>
      <c r="N159" s="202"/>
      <c r="O159" s="202"/>
      <c r="P159" s="202"/>
      <c r="Q159" s="203"/>
      <c r="R159" s="205"/>
      <c r="S159" s="203"/>
      <c r="T159" s="210" t="s">
        <v>350</v>
      </c>
      <c r="U159" s="202"/>
      <c r="V159" s="202"/>
      <c r="W159" s="202"/>
      <c r="X159" s="202" t="s">
        <v>49</v>
      </c>
      <c r="Y159" s="202"/>
      <c r="Z159" s="202"/>
      <c r="AB159" s="201"/>
      <c r="AC159" s="207"/>
      <c r="AE159" s="201"/>
    </row>
    <row r="160" spans="1:37" ht="21" customHeight="1">
      <c r="A160" s="248" t="s">
        <v>341</v>
      </c>
      <c r="B160" s="202" t="s">
        <v>73</v>
      </c>
      <c r="C160" s="202" t="s">
        <v>27</v>
      </c>
      <c r="D160" s="279">
        <v>159</v>
      </c>
      <c r="E160" s="202">
        <v>158</v>
      </c>
      <c r="F160" s="202" t="s">
        <v>351</v>
      </c>
      <c r="G160" s="203"/>
      <c r="H160" s="202" t="s">
        <v>352</v>
      </c>
      <c r="I160" s="202"/>
      <c r="J160" s="202" t="s">
        <v>30</v>
      </c>
      <c r="K160" s="202"/>
      <c r="L160" s="204"/>
      <c r="M160" s="202" t="s">
        <v>30</v>
      </c>
      <c r="N160" s="202"/>
      <c r="O160" s="202"/>
      <c r="P160" s="202"/>
      <c r="Q160" s="203"/>
      <c r="R160" s="205" t="s">
        <v>353</v>
      </c>
      <c r="S160" s="203"/>
      <c r="T160" s="210"/>
      <c r="U160" s="202"/>
      <c r="V160" s="202" t="s">
        <v>32</v>
      </c>
      <c r="W160" s="202"/>
      <c r="X160" s="202"/>
      <c r="Y160" s="202" t="s">
        <v>33</v>
      </c>
      <c r="Z160" s="202"/>
      <c r="AB160" s="201"/>
      <c r="AC160" s="207"/>
      <c r="AE160" s="201"/>
    </row>
    <row r="161" spans="1:31" ht="21" customHeight="1">
      <c r="A161" s="248" t="s">
        <v>341</v>
      </c>
      <c r="B161" s="202" t="s">
        <v>75</v>
      </c>
      <c r="C161" s="202" t="s">
        <v>27</v>
      </c>
      <c r="D161" s="279">
        <v>160</v>
      </c>
      <c r="E161" s="202">
        <v>159</v>
      </c>
      <c r="F161" s="202" t="s">
        <v>354</v>
      </c>
      <c r="G161" s="203"/>
      <c r="H161" s="202"/>
      <c r="I161" s="202" t="s">
        <v>30</v>
      </c>
      <c r="J161" s="202"/>
      <c r="K161" s="202"/>
      <c r="L161" s="204" t="s">
        <v>30</v>
      </c>
      <c r="M161" s="202"/>
      <c r="N161" s="202"/>
      <c r="O161" s="202"/>
      <c r="P161" s="202" t="s">
        <v>14</v>
      </c>
      <c r="Q161" s="203"/>
      <c r="R161" s="205"/>
      <c r="S161" s="203"/>
      <c r="T161" s="210"/>
      <c r="U161" s="202" t="s">
        <v>48</v>
      </c>
      <c r="V161" s="202"/>
      <c r="W161" s="202"/>
      <c r="X161" s="202" t="s">
        <v>49</v>
      </c>
      <c r="Y161" s="202"/>
      <c r="Z161" s="202"/>
      <c r="AB161" s="201"/>
      <c r="AC161" s="207"/>
      <c r="AE161" s="201"/>
    </row>
    <row r="162" spans="1:31" ht="21" customHeight="1">
      <c r="A162" s="248" t="s">
        <v>341</v>
      </c>
      <c r="B162" s="202" t="s">
        <v>98</v>
      </c>
      <c r="C162" s="202" t="s">
        <v>27</v>
      </c>
      <c r="D162" s="279">
        <v>161</v>
      </c>
      <c r="E162" s="202">
        <v>160</v>
      </c>
      <c r="F162" s="202" t="s">
        <v>355</v>
      </c>
      <c r="G162" s="203"/>
      <c r="H162" s="202" t="s">
        <v>356</v>
      </c>
      <c r="I162" s="202"/>
      <c r="J162" s="202"/>
      <c r="K162" s="202"/>
      <c r="L162" s="204"/>
      <c r="M162" s="202" t="s">
        <v>30</v>
      </c>
      <c r="N162" s="202"/>
      <c r="O162" s="202"/>
      <c r="P162" s="202"/>
      <c r="Q162" s="203"/>
      <c r="R162" s="205"/>
      <c r="S162" s="203"/>
      <c r="T162" s="210"/>
      <c r="U162" s="202"/>
      <c r="V162" s="202"/>
      <c r="W162" s="202"/>
      <c r="X162" s="202"/>
      <c r="Y162" s="202" t="s">
        <v>33</v>
      </c>
      <c r="Z162" s="202"/>
      <c r="AB162" s="201"/>
      <c r="AC162" s="207"/>
      <c r="AE162" s="201"/>
    </row>
    <row r="163" spans="1:31" ht="21" customHeight="1">
      <c r="A163" s="248" t="s">
        <v>341</v>
      </c>
      <c r="B163" s="202" t="s">
        <v>75</v>
      </c>
      <c r="C163" s="202" t="s">
        <v>27</v>
      </c>
      <c r="D163" s="279">
        <v>162</v>
      </c>
      <c r="E163" s="202">
        <v>161</v>
      </c>
      <c r="F163" s="202" t="s">
        <v>357</v>
      </c>
      <c r="G163" s="203"/>
      <c r="H163" s="202"/>
      <c r="I163" s="202" t="s">
        <v>30</v>
      </c>
      <c r="J163" s="202"/>
      <c r="K163" s="202"/>
      <c r="L163" s="204"/>
      <c r="M163" s="202" t="s">
        <v>30</v>
      </c>
      <c r="N163" s="202"/>
      <c r="O163" s="202"/>
      <c r="P163" s="202"/>
      <c r="Q163" s="203"/>
      <c r="R163" s="205"/>
      <c r="S163" s="203"/>
      <c r="T163" s="210"/>
      <c r="U163" s="202" t="s">
        <v>48</v>
      </c>
      <c r="V163" s="202"/>
      <c r="W163" s="202"/>
      <c r="X163" s="202"/>
      <c r="Y163" s="202" t="s">
        <v>33</v>
      </c>
      <c r="Z163" s="202"/>
      <c r="AB163" s="201"/>
      <c r="AC163" s="207"/>
      <c r="AE163" s="201"/>
    </row>
    <row r="164" spans="1:31" ht="21" customHeight="1">
      <c r="A164" s="248" t="s">
        <v>341</v>
      </c>
      <c r="B164" s="202" t="s">
        <v>73</v>
      </c>
      <c r="C164" s="202" t="s">
        <v>27</v>
      </c>
      <c r="D164" s="279">
        <v>163</v>
      </c>
      <c r="E164" s="202">
        <v>162</v>
      </c>
      <c r="F164" s="202" t="s">
        <v>358</v>
      </c>
      <c r="G164" s="203"/>
      <c r="H164" s="202"/>
      <c r="I164" s="202"/>
      <c r="J164" s="202"/>
      <c r="K164" s="202"/>
      <c r="L164" s="204"/>
      <c r="M164" s="202" t="s">
        <v>30</v>
      </c>
      <c r="N164" s="202"/>
      <c r="O164" s="202"/>
      <c r="P164" s="202"/>
      <c r="Q164" s="203"/>
      <c r="R164" s="205"/>
      <c r="S164" s="203"/>
      <c r="T164" s="210"/>
      <c r="U164" s="202"/>
      <c r="V164" s="202"/>
      <c r="W164" s="202"/>
      <c r="X164" s="202"/>
      <c r="Y164" s="202" t="s">
        <v>33</v>
      </c>
      <c r="Z164" s="202"/>
      <c r="AB164" s="201"/>
      <c r="AC164" s="207"/>
      <c r="AE164" s="201"/>
    </row>
    <row r="165" spans="1:31" ht="21" customHeight="1">
      <c r="A165" s="248" t="s">
        <v>341</v>
      </c>
      <c r="B165" s="202" t="s">
        <v>149</v>
      </c>
      <c r="C165" s="202" t="s">
        <v>27</v>
      </c>
      <c r="D165" s="279">
        <v>164</v>
      </c>
      <c r="E165" s="202">
        <v>163</v>
      </c>
      <c r="F165" s="202" t="s">
        <v>359</v>
      </c>
      <c r="G165" s="203"/>
      <c r="H165" s="202" t="s">
        <v>360</v>
      </c>
      <c r="I165" s="202"/>
      <c r="J165" s="202"/>
      <c r="K165" s="202"/>
      <c r="L165" s="204"/>
      <c r="M165" s="202"/>
      <c r="N165" s="202" t="s">
        <v>347</v>
      </c>
      <c r="O165" s="202"/>
      <c r="P165" s="202"/>
      <c r="Q165" s="203"/>
      <c r="R165" s="205"/>
      <c r="S165" s="203"/>
      <c r="T165" s="210" t="s">
        <v>361</v>
      </c>
      <c r="U165" s="202"/>
      <c r="V165" s="202"/>
      <c r="W165" s="202"/>
      <c r="X165" s="202"/>
      <c r="Y165" s="202"/>
      <c r="Z165" s="202" t="s">
        <v>55</v>
      </c>
      <c r="AB165" s="201"/>
      <c r="AC165" s="207"/>
      <c r="AE165" s="201"/>
    </row>
    <row r="166" spans="1:31" ht="21" customHeight="1">
      <c r="A166" s="248" t="s">
        <v>341</v>
      </c>
      <c r="B166" s="202" t="s">
        <v>79</v>
      </c>
      <c r="C166" s="202" t="s">
        <v>27</v>
      </c>
      <c r="D166" s="279">
        <v>165</v>
      </c>
      <c r="E166" s="202">
        <v>164</v>
      </c>
      <c r="F166" s="202" t="s">
        <v>362</v>
      </c>
      <c r="G166" s="203"/>
      <c r="H166" s="202"/>
      <c r="I166" s="202" t="s">
        <v>30</v>
      </c>
      <c r="J166" s="202"/>
      <c r="K166" s="202"/>
      <c r="L166" s="204" t="s">
        <v>30</v>
      </c>
      <c r="M166" s="202"/>
      <c r="N166" s="202"/>
      <c r="O166" s="202"/>
      <c r="P166" s="202"/>
      <c r="Q166" s="203"/>
      <c r="R166" s="205"/>
      <c r="S166" s="203"/>
      <c r="T166" s="210"/>
      <c r="U166" s="202" t="s">
        <v>48</v>
      </c>
      <c r="V166" s="202"/>
      <c r="W166" s="202"/>
      <c r="X166" s="202" t="s">
        <v>49</v>
      </c>
      <c r="Y166" s="202"/>
      <c r="Z166" s="202"/>
      <c r="AB166" s="201"/>
      <c r="AC166" s="207"/>
      <c r="AE166" s="201"/>
    </row>
    <row r="167" spans="1:31" ht="21" customHeight="1">
      <c r="A167" s="248" t="s">
        <v>341</v>
      </c>
      <c r="B167" s="202" t="s">
        <v>75</v>
      </c>
      <c r="C167" s="202" t="s">
        <v>27</v>
      </c>
      <c r="D167" s="279">
        <v>166</v>
      </c>
      <c r="E167" s="202">
        <v>165</v>
      </c>
      <c r="F167" s="202" t="s">
        <v>363</v>
      </c>
      <c r="G167" s="203"/>
      <c r="H167" s="202"/>
      <c r="I167" s="202" t="s">
        <v>30</v>
      </c>
      <c r="J167" s="202"/>
      <c r="K167" s="202"/>
      <c r="L167" s="204" t="s">
        <v>30</v>
      </c>
      <c r="M167" s="202"/>
      <c r="N167" s="202"/>
      <c r="O167" s="202"/>
      <c r="P167" s="202" t="s">
        <v>14</v>
      </c>
      <c r="Q167" s="203"/>
      <c r="R167" s="205"/>
      <c r="S167" s="203"/>
      <c r="T167" s="210"/>
      <c r="U167" s="202" t="s">
        <v>48</v>
      </c>
      <c r="V167" s="202"/>
      <c r="W167" s="202"/>
      <c r="X167" s="202" t="s">
        <v>49</v>
      </c>
      <c r="Y167" s="202"/>
      <c r="Z167" s="202"/>
      <c r="AB167" s="201"/>
      <c r="AC167" s="207"/>
      <c r="AE167" s="201"/>
    </row>
    <row r="168" spans="1:31" ht="21" customHeight="1">
      <c r="A168" s="248" t="s">
        <v>341</v>
      </c>
      <c r="B168" s="202" t="s">
        <v>73</v>
      </c>
      <c r="C168" s="202" t="s">
        <v>27</v>
      </c>
      <c r="D168" s="279">
        <v>167</v>
      </c>
      <c r="E168" s="202">
        <v>166</v>
      </c>
      <c r="F168" s="202" t="s">
        <v>364</v>
      </c>
      <c r="G168" s="203"/>
      <c r="H168" s="202" t="s">
        <v>365</v>
      </c>
      <c r="I168" s="202"/>
      <c r="J168" s="202"/>
      <c r="K168" s="202"/>
      <c r="L168" s="204" t="s">
        <v>30</v>
      </c>
      <c r="M168" s="202"/>
      <c r="N168" s="202"/>
      <c r="O168" s="202"/>
      <c r="P168" s="202"/>
      <c r="Q168" s="203"/>
      <c r="R168" s="205"/>
      <c r="S168" s="203"/>
      <c r="T168" s="210"/>
      <c r="U168" s="202"/>
      <c r="V168" s="202"/>
      <c r="W168" s="202"/>
      <c r="X168" s="202" t="s">
        <v>49</v>
      </c>
      <c r="Y168" s="202"/>
      <c r="Z168" s="202"/>
      <c r="AB168" s="201"/>
      <c r="AC168" s="207"/>
      <c r="AE168" s="201"/>
    </row>
    <row r="169" spans="1:31" ht="21" customHeight="1">
      <c r="A169" s="248" t="s">
        <v>341</v>
      </c>
      <c r="B169" s="202" t="s">
        <v>73</v>
      </c>
      <c r="C169" s="202" t="s">
        <v>27</v>
      </c>
      <c r="D169" s="279">
        <v>168</v>
      </c>
      <c r="E169" s="202">
        <v>167</v>
      </c>
      <c r="F169" s="202" t="s">
        <v>366</v>
      </c>
      <c r="G169" s="203"/>
      <c r="H169" s="202" t="s">
        <v>367</v>
      </c>
      <c r="I169" s="202"/>
      <c r="J169" s="202" t="s">
        <v>30</v>
      </c>
      <c r="K169" s="202"/>
      <c r="L169" s="204"/>
      <c r="M169" s="202" t="s">
        <v>30</v>
      </c>
      <c r="N169" s="202"/>
      <c r="O169" s="202"/>
      <c r="P169" s="202"/>
      <c r="Q169" s="203"/>
      <c r="R169" s="205"/>
      <c r="S169" s="203"/>
      <c r="T169" s="210"/>
      <c r="U169" s="202"/>
      <c r="V169" s="202" t="s">
        <v>32</v>
      </c>
      <c r="W169" s="202"/>
      <c r="X169" s="202"/>
      <c r="Y169" s="202" t="s">
        <v>33</v>
      </c>
      <c r="Z169" s="202"/>
      <c r="AB169" s="201"/>
      <c r="AC169" s="207"/>
      <c r="AE169" s="201"/>
    </row>
    <row r="170" spans="1:31" ht="21" customHeight="1">
      <c r="A170" s="248" t="s">
        <v>341</v>
      </c>
      <c r="B170" s="202" t="s">
        <v>50</v>
      </c>
      <c r="C170" s="202" t="s">
        <v>27</v>
      </c>
      <c r="D170" s="279">
        <v>169</v>
      </c>
      <c r="E170" s="202">
        <v>168</v>
      </c>
      <c r="F170" s="202" t="s">
        <v>368</v>
      </c>
      <c r="G170" s="203"/>
      <c r="H170" s="202" t="s">
        <v>369</v>
      </c>
      <c r="I170" s="202" t="s">
        <v>30</v>
      </c>
      <c r="J170" s="202"/>
      <c r="K170" s="202" t="s">
        <v>30</v>
      </c>
      <c r="L170" s="204"/>
      <c r="M170" s="202" t="s">
        <v>30</v>
      </c>
      <c r="N170" s="202"/>
      <c r="O170" s="202"/>
      <c r="P170" s="202" t="s">
        <v>14</v>
      </c>
      <c r="Q170" s="203"/>
      <c r="R170" s="205"/>
      <c r="S170" s="203"/>
      <c r="T170" s="210"/>
      <c r="U170" s="202" t="s">
        <v>48</v>
      </c>
      <c r="V170" s="202"/>
      <c r="W170" s="202" t="s">
        <v>54</v>
      </c>
      <c r="X170" s="202"/>
      <c r="Y170" s="202" t="s">
        <v>33</v>
      </c>
      <c r="Z170" s="202"/>
      <c r="AB170" s="201"/>
      <c r="AC170" s="207"/>
      <c r="AE170" s="201"/>
    </row>
    <row r="171" spans="1:31" ht="21" customHeight="1">
      <c r="A171" s="248" t="s">
        <v>341</v>
      </c>
      <c r="B171" s="202" t="s">
        <v>73</v>
      </c>
      <c r="C171" s="202" t="s">
        <v>27</v>
      </c>
      <c r="D171" s="279">
        <v>170</v>
      </c>
      <c r="E171" s="202">
        <v>169</v>
      </c>
      <c r="F171" s="202" t="s">
        <v>370</v>
      </c>
      <c r="G171" s="203"/>
      <c r="H171" s="202"/>
      <c r="I171" s="202"/>
      <c r="J171" s="202"/>
      <c r="K171" s="202"/>
      <c r="L171" s="204" t="s">
        <v>30</v>
      </c>
      <c r="M171" s="202"/>
      <c r="N171" s="203"/>
      <c r="O171" s="202"/>
      <c r="P171" s="202"/>
      <c r="Q171" s="203"/>
      <c r="R171" s="205"/>
      <c r="S171" s="203"/>
      <c r="T171" s="210"/>
      <c r="U171" s="202"/>
      <c r="V171" s="202"/>
      <c r="W171" s="202" t="s">
        <v>54</v>
      </c>
      <c r="X171" s="203" t="s">
        <v>49</v>
      </c>
      <c r="Y171" s="202"/>
      <c r="Z171" s="202"/>
      <c r="AB171" s="201"/>
      <c r="AC171" s="207"/>
      <c r="AE171" s="201"/>
    </row>
    <row r="172" spans="1:31" ht="21" customHeight="1">
      <c r="A172" s="248" t="s">
        <v>341</v>
      </c>
      <c r="B172" s="202" t="s">
        <v>73</v>
      </c>
      <c r="C172" s="202" t="s">
        <v>27</v>
      </c>
      <c r="D172" s="279">
        <v>171</v>
      </c>
      <c r="E172" s="202">
        <v>170</v>
      </c>
      <c r="F172" s="202" t="s">
        <v>371</v>
      </c>
      <c r="G172" s="203"/>
      <c r="H172" s="202" t="s">
        <v>372</v>
      </c>
      <c r="I172" s="202"/>
      <c r="J172" s="202"/>
      <c r="K172" s="202" t="s">
        <v>30</v>
      </c>
      <c r="L172" s="204"/>
      <c r="M172" s="202"/>
      <c r="N172" s="202"/>
      <c r="O172" s="202"/>
      <c r="P172" s="202"/>
      <c r="Q172" s="203"/>
      <c r="R172" s="205"/>
      <c r="S172" s="203"/>
      <c r="T172" s="210"/>
      <c r="U172" s="202"/>
      <c r="V172" s="202" t="s">
        <v>32</v>
      </c>
      <c r="W172" s="202" t="s">
        <v>54</v>
      </c>
      <c r="X172" s="202"/>
      <c r="Y172" s="202"/>
      <c r="Z172" s="202"/>
      <c r="AB172" s="201"/>
      <c r="AC172" s="207"/>
      <c r="AE172" s="201"/>
    </row>
    <row r="173" spans="1:31" ht="21" customHeight="1">
      <c r="A173" s="248" t="s">
        <v>341</v>
      </c>
      <c r="B173" s="202" t="s">
        <v>50</v>
      </c>
      <c r="C173" s="202" t="s">
        <v>27</v>
      </c>
      <c r="D173" s="279">
        <v>172</v>
      </c>
      <c r="E173" s="202">
        <v>171</v>
      </c>
      <c r="F173" s="202" t="s">
        <v>373</v>
      </c>
      <c r="G173" s="203" t="s">
        <v>104</v>
      </c>
      <c r="H173" s="202" t="s">
        <v>374</v>
      </c>
      <c r="I173" s="202" t="s">
        <v>30</v>
      </c>
      <c r="J173" s="202" t="s">
        <v>30</v>
      </c>
      <c r="K173" s="202" t="s">
        <v>30</v>
      </c>
      <c r="L173" s="204" t="s">
        <v>30</v>
      </c>
      <c r="M173" s="202" t="s">
        <v>30</v>
      </c>
      <c r="N173" s="202" t="s">
        <v>347</v>
      </c>
      <c r="O173" s="202"/>
      <c r="P173" s="202" t="s">
        <v>14</v>
      </c>
      <c r="Q173" s="203"/>
      <c r="R173" s="205"/>
      <c r="S173" s="203"/>
      <c r="T173" s="210"/>
      <c r="U173" s="202" t="s">
        <v>48</v>
      </c>
      <c r="V173" s="202" t="s">
        <v>32</v>
      </c>
      <c r="W173" s="202" t="s">
        <v>54</v>
      </c>
      <c r="X173" s="202" t="s">
        <v>49</v>
      </c>
      <c r="Y173" s="202" t="s">
        <v>33</v>
      </c>
      <c r="Z173" s="202" t="s">
        <v>55</v>
      </c>
      <c r="AB173" s="201"/>
      <c r="AC173" s="207"/>
      <c r="AE173" s="201"/>
    </row>
    <row r="174" spans="1:31" ht="21" customHeight="1">
      <c r="A174" s="248" t="s">
        <v>341</v>
      </c>
      <c r="B174" s="202" t="s">
        <v>73</v>
      </c>
      <c r="C174" s="202" t="s">
        <v>27</v>
      </c>
      <c r="D174" s="279">
        <v>173</v>
      </c>
      <c r="E174" s="202">
        <v>172</v>
      </c>
      <c r="F174" s="202" t="s">
        <v>375</v>
      </c>
      <c r="G174" s="203"/>
      <c r="H174" s="202"/>
      <c r="I174" s="202"/>
      <c r="J174" s="202" t="s">
        <v>30</v>
      </c>
      <c r="K174" s="202"/>
      <c r="L174" s="204"/>
      <c r="M174" s="202"/>
      <c r="N174" s="202"/>
      <c r="O174" s="202"/>
      <c r="P174" s="202"/>
      <c r="Q174" s="203"/>
      <c r="R174" s="205"/>
      <c r="S174" s="203"/>
      <c r="T174" s="210"/>
      <c r="U174" s="202"/>
      <c r="V174" s="202" t="s">
        <v>32</v>
      </c>
      <c r="W174" s="202"/>
      <c r="X174" s="202"/>
      <c r="Y174" s="202"/>
      <c r="Z174" s="202"/>
      <c r="AB174" s="201"/>
      <c r="AC174" s="207"/>
      <c r="AE174" s="201"/>
    </row>
    <row r="175" spans="1:31" ht="21" customHeight="1">
      <c r="A175" s="248" t="s">
        <v>341</v>
      </c>
      <c r="B175" s="202" t="s">
        <v>73</v>
      </c>
      <c r="C175" s="202" t="s">
        <v>27</v>
      </c>
      <c r="D175" s="279">
        <v>174</v>
      </c>
      <c r="E175" s="202">
        <v>173</v>
      </c>
      <c r="F175" s="202" t="s">
        <v>376</v>
      </c>
      <c r="G175" s="203"/>
      <c r="H175" s="202"/>
      <c r="I175" s="202"/>
      <c r="J175" s="202" t="s">
        <v>30</v>
      </c>
      <c r="K175" s="202"/>
      <c r="L175" s="204"/>
      <c r="M175" s="202" t="s">
        <v>30</v>
      </c>
      <c r="N175" s="202"/>
      <c r="O175" s="202"/>
      <c r="P175" s="202"/>
      <c r="Q175" s="203"/>
      <c r="R175" s="205"/>
      <c r="S175" s="203"/>
      <c r="T175" s="210"/>
      <c r="U175" s="202"/>
      <c r="V175" s="202" t="s">
        <v>32</v>
      </c>
      <c r="W175" s="202"/>
      <c r="X175" s="202"/>
      <c r="Y175" s="202" t="s">
        <v>33</v>
      </c>
      <c r="Z175" s="202"/>
      <c r="AB175" s="201"/>
      <c r="AC175" s="207"/>
      <c r="AE175" s="201"/>
    </row>
    <row r="176" spans="1:31" ht="21" customHeight="1">
      <c r="A176" s="248" t="s">
        <v>341</v>
      </c>
      <c r="B176" s="202" t="s">
        <v>26</v>
      </c>
      <c r="C176" s="202" t="s">
        <v>27</v>
      </c>
      <c r="D176" s="279">
        <v>175</v>
      </c>
      <c r="E176" s="202">
        <v>174</v>
      </c>
      <c r="F176" s="202" t="s">
        <v>377</v>
      </c>
      <c r="G176" s="203" t="s">
        <v>104</v>
      </c>
      <c r="H176" s="202" t="s">
        <v>378</v>
      </c>
      <c r="I176" s="202"/>
      <c r="J176" s="202" t="s">
        <v>30</v>
      </c>
      <c r="K176" s="202"/>
      <c r="L176" s="204"/>
      <c r="M176" s="202" t="s">
        <v>30</v>
      </c>
      <c r="N176" s="202"/>
      <c r="O176" s="202"/>
      <c r="P176" s="202"/>
      <c r="Q176" s="203"/>
      <c r="R176" s="205"/>
      <c r="S176" s="203"/>
      <c r="T176" s="210"/>
      <c r="U176" s="202"/>
      <c r="V176" s="202" t="s">
        <v>32</v>
      </c>
      <c r="W176" s="202"/>
      <c r="X176" s="202"/>
      <c r="Y176" s="202" t="s">
        <v>33</v>
      </c>
      <c r="Z176" s="202"/>
      <c r="AB176" s="201"/>
      <c r="AC176" s="207"/>
      <c r="AE176" s="201"/>
    </row>
    <row r="177" spans="1:37" ht="21" customHeight="1">
      <c r="A177" s="248" t="s">
        <v>341</v>
      </c>
      <c r="B177" s="202" t="s">
        <v>73</v>
      </c>
      <c r="C177" s="202" t="s">
        <v>27</v>
      </c>
      <c r="D177" s="279">
        <v>176</v>
      </c>
      <c r="E177" s="202">
        <v>175</v>
      </c>
      <c r="F177" s="202" t="s">
        <v>379</v>
      </c>
      <c r="G177" s="203"/>
      <c r="H177" s="202"/>
      <c r="I177" s="202"/>
      <c r="J177" s="202"/>
      <c r="K177" s="202"/>
      <c r="L177" s="204"/>
      <c r="M177" s="202" t="s">
        <v>30</v>
      </c>
      <c r="N177" s="202"/>
      <c r="O177" s="202"/>
      <c r="P177" s="202"/>
      <c r="Q177" s="203"/>
      <c r="R177" s="205"/>
      <c r="S177" s="203"/>
      <c r="T177" s="210"/>
      <c r="U177" s="202"/>
      <c r="V177" s="202"/>
      <c r="W177" s="202"/>
      <c r="X177" s="202"/>
      <c r="Y177" s="202" t="s">
        <v>33</v>
      </c>
      <c r="Z177" s="202"/>
      <c r="AB177" s="201"/>
      <c r="AC177" s="207"/>
      <c r="AE177" s="201"/>
    </row>
    <row r="178" spans="1:37" ht="21" customHeight="1">
      <c r="A178" s="248" t="s">
        <v>341</v>
      </c>
      <c r="B178" s="202" t="s">
        <v>75</v>
      </c>
      <c r="C178" s="202" t="s">
        <v>27</v>
      </c>
      <c r="D178" s="279">
        <v>177</v>
      </c>
      <c r="E178" s="202">
        <v>289</v>
      </c>
      <c r="F178" s="202" t="s">
        <v>775</v>
      </c>
      <c r="G178" s="203"/>
      <c r="H178" s="202"/>
      <c r="I178" s="202"/>
      <c r="J178" s="202"/>
      <c r="K178" s="202"/>
      <c r="L178" s="204"/>
      <c r="M178" s="202" t="s">
        <v>777</v>
      </c>
      <c r="N178" s="202"/>
      <c r="O178" s="202"/>
      <c r="P178" s="202"/>
      <c r="Q178" s="203"/>
      <c r="R178" s="205"/>
      <c r="S178" s="203"/>
      <c r="T178" s="210"/>
      <c r="U178" s="202"/>
      <c r="V178" s="202"/>
      <c r="W178" s="202"/>
      <c r="X178" s="202"/>
      <c r="Y178" s="202"/>
      <c r="Z178" s="202"/>
      <c r="AB178" s="201"/>
      <c r="AC178" s="207"/>
      <c r="AE178" s="201"/>
    </row>
    <row r="179" spans="1:37" ht="21" customHeight="1">
      <c r="A179" s="241" t="s">
        <v>380</v>
      </c>
      <c r="B179" s="202" t="s">
        <v>75</v>
      </c>
      <c r="C179" s="202" t="s">
        <v>27</v>
      </c>
      <c r="D179" s="280">
        <v>178</v>
      </c>
      <c r="E179" s="202">
        <v>176</v>
      </c>
      <c r="F179" s="202" t="s">
        <v>381</v>
      </c>
      <c r="G179" s="203"/>
      <c r="H179" s="202"/>
      <c r="I179" s="202"/>
      <c r="J179" s="202" t="s">
        <v>30</v>
      </c>
      <c r="K179" s="203"/>
      <c r="L179" s="204"/>
      <c r="M179" s="202" t="s">
        <v>30</v>
      </c>
      <c r="N179" s="202"/>
      <c r="O179" s="202"/>
      <c r="P179" s="202" t="s">
        <v>14</v>
      </c>
      <c r="Q179" s="203"/>
      <c r="R179" s="205"/>
      <c r="S179" s="203"/>
      <c r="T179" s="210"/>
      <c r="U179" s="202"/>
      <c r="V179" s="202" t="s">
        <v>32</v>
      </c>
      <c r="W179" s="202"/>
      <c r="X179" s="202"/>
      <c r="Y179" s="202" t="s">
        <v>33</v>
      </c>
      <c r="Z179" s="202"/>
      <c r="AB179" s="201"/>
      <c r="AC179" s="207"/>
      <c r="AE179" s="201"/>
    </row>
    <row r="180" spans="1:37" ht="21" customHeight="1">
      <c r="A180" s="241" t="s">
        <v>380</v>
      </c>
      <c r="B180" s="202" t="s">
        <v>75</v>
      </c>
      <c r="C180" s="202" t="s">
        <v>27</v>
      </c>
      <c r="D180" s="280">
        <v>179</v>
      </c>
      <c r="E180" s="202">
        <v>177</v>
      </c>
      <c r="F180" s="202" t="s">
        <v>382</v>
      </c>
      <c r="G180" s="203"/>
      <c r="H180" s="202"/>
      <c r="I180" s="202"/>
      <c r="J180" s="202" t="s">
        <v>30</v>
      </c>
      <c r="K180" s="203"/>
      <c r="L180" s="204"/>
      <c r="M180" s="202" t="s">
        <v>30</v>
      </c>
      <c r="N180" s="202"/>
      <c r="O180" s="202"/>
      <c r="P180" s="202" t="s">
        <v>14</v>
      </c>
      <c r="Q180" s="203"/>
      <c r="R180" s="205"/>
      <c r="S180" s="203"/>
      <c r="T180" s="210"/>
      <c r="U180" s="202"/>
      <c r="V180" s="202" t="s">
        <v>32</v>
      </c>
      <c r="W180" s="202"/>
      <c r="X180" s="202"/>
      <c r="Y180" s="202" t="s">
        <v>33</v>
      </c>
      <c r="Z180" s="202"/>
      <c r="AB180" s="201"/>
      <c r="AC180" s="207"/>
      <c r="AE180" s="201"/>
    </row>
    <row r="181" spans="1:37" ht="21" customHeight="1">
      <c r="A181" s="241" t="s">
        <v>380</v>
      </c>
      <c r="B181" s="202" t="s">
        <v>73</v>
      </c>
      <c r="C181" s="202" t="s">
        <v>27</v>
      </c>
      <c r="D181" s="280">
        <v>180</v>
      </c>
      <c r="E181" s="202">
        <v>178</v>
      </c>
      <c r="F181" s="202" t="s">
        <v>383</v>
      </c>
      <c r="G181" s="203"/>
      <c r="H181" s="202"/>
      <c r="I181" s="202"/>
      <c r="J181" s="202"/>
      <c r="K181" s="202" t="s">
        <v>30</v>
      </c>
      <c r="L181" s="204"/>
      <c r="M181" s="202"/>
      <c r="N181" s="202"/>
      <c r="O181" s="202"/>
      <c r="P181" s="202" t="s">
        <v>14</v>
      </c>
      <c r="Q181" s="203"/>
      <c r="R181" s="205"/>
      <c r="S181" s="203"/>
      <c r="T181" s="210"/>
      <c r="U181" s="202"/>
      <c r="V181" s="202"/>
      <c r="W181" s="202" t="s">
        <v>54</v>
      </c>
      <c r="X181" s="202"/>
      <c r="Y181" s="202"/>
      <c r="Z181" s="202"/>
      <c r="AB181" s="201"/>
      <c r="AC181" s="207"/>
      <c r="AE181" s="201"/>
    </row>
    <row r="182" spans="1:37" ht="21" customHeight="1">
      <c r="A182" s="241" t="s">
        <v>380</v>
      </c>
      <c r="B182" s="202" t="s">
        <v>384</v>
      </c>
      <c r="C182" s="202" t="s">
        <v>27</v>
      </c>
      <c r="D182" s="280">
        <v>181</v>
      </c>
      <c r="E182" s="202">
        <v>179</v>
      </c>
      <c r="F182" s="202" t="s">
        <v>385</v>
      </c>
      <c r="G182" s="203"/>
      <c r="H182" s="202"/>
      <c r="I182" s="202"/>
      <c r="J182" s="202" t="s">
        <v>30</v>
      </c>
      <c r="K182" s="202"/>
      <c r="L182" s="204"/>
      <c r="M182" s="202" t="s">
        <v>30</v>
      </c>
      <c r="N182" s="202"/>
      <c r="O182" s="202"/>
      <c r="P182" s="202"/>
      <c r="Q182" s="203"/>
      <c r="R182" s="205"/>
      <c r="S182" s="203"/>
      <c r="T182" s="210"/>
      <c r="U182" s="202"/>
      <c r="V182" s="202" t="s">
        <v>32</v>
      </c>
      <c r="W182" s="202"/>
      <c r="X182" s="202"/>
      <c r="Y182" s="202" t="s">
        <v>33</v>
      </c>
      <c r="Z182" s="202"/>
      <c r="AB182" s="201"/>
      <c r="AC182" s="207"/>
      <c r="AE182" s="201"/>
    </row>
    <row r="183" spans="1:37" ht="21" customHeight="1">
      <c r="A183" s="241" t="s">
        <v>380</v>
      </c>
      <c r="B183" s="202" t="s">
        <v>73</v>
      </c>
      <c r="C183" s="202" t="s">
        <v>27</v>
      </c>
      <c r="D183" s="280">
        <v>182</v>
      </c>
      <c r="E183" s="202">
        <v>180</v>
      </c>
      <c r="F183" s="202" t="s">
        <v>386</v>
      </c>
      <c r="G183" s="203" t="s">
        <v>52</v>
      </c>
      <c r="H183" s="202" t="s">
        <v>387</v>
      </c>
      <c r="I183" s="202"/>
      <c r="J183" s="202"/>
      <c r="K183" s="202" t="s">
        <v>30</v>
      </c>
      <c r="L183" s="204"/>
      <c r="M183" s="202"/>
      <c r="N183" s="202" t="s">
        <v>347</v>
      </c>
      <c r="O183" s="202"/>
      <c r="P183" s="202"/>
      <c r="Q183" s="203"/>
      <c r="R183" s="205"/>
      <c r="S183" s="203"/>
      <c r="T183" s="210"/>
      <c r="U183" s="202"/>
      <c r="V183" s="202"/>
      <c r="W183" s="202" t="s">
        <v>54</v>
      </c>
      <c r="X183" s="202"/>
      <c r="Y183" s="202"/>
      <c r="Z183" s="202" t="s">
        <v>55</v>
      </c>
      <c r="AB183" s="201"/>
      <c r="AC183" s="207"/>
      <c r="AE183" s="201"/>
    </row>
    <row r="184" spans="1:37" ht="21" customHeight="1">
      <c r="A184" s="241" t="s">
        <v>380</v>
      </c>
      <c r="B184" s="202" t="s">
        <v>50</v>
      </c>
      <c r="C184" s="202" t="s">
        <v>27</v>
      </c>
      <c r="D184" s="280">
        <v>183</v>
      </c>
      <c r="E184" s="202">
        <v>181</v>
      </c>
      <c r="F184" s="202" t="s">
        <v>388</v>
      </c>
      <c r="G184" s="203"/>
      <c r="H184" s="202" t="s">
        <v>389</v>
      </c>
      <c r="I184" s="202"/>
      <c r="J184" s="202"/>
      <c r="K184" s="202" t="s">
        <v>30</v>
      </c>
      <c r="L184" s="204"/>
      <c r="M184" s="202"/>
      <c r="N184" s="202" t="s">
        <v>347</v>
      </c>
      <c r="O184" s="202"/>
      <c r="P184" s="202"/>
      <c r="Q184" s="203"/>
      <c r="R184" s="205"/>
      <c r="S184" s="203"/>
      <c r="T184" s="210" t="s">
        <v>361</v>
      </c>
      <c r="U184" s="202"/>
      <c r="V184" s="202"/>
      <c r="W184" s="202" t="s">
        <v>54</v>
      </c>
      <c r="X184" s="202"/>
      <c r="Y184" s="202"/>
      <c r="Z184" s="202" t="s">
        <v>55</v>
      </c>
      <c r="AB184" s="201"/>
      <c r="AC184" s="207"/>
      <c r="AE184" s="201"/>
    </row>
    <row r="185" spans="1:37" ht="21" customHeight="1">
      <c r="A185" s="241" t="s">
        <v>380</v>
      </c>
      <c r="B185" s="202" t="s">
        <v>98</v>
      </c>
      <c r="C185" s="202" t="s">
        <v>27</v>
      </c>
      <c r="D185" s="280">
        <v>184</v>
      </c>
      <c r="E185" s="202">
        <v>182</v>
      </c>
      <c r="F185" s="202" t="s">
        <v>390</v>
      </c>
      <c r="G185" s="203"/>
      <c r="H185" s="202" t="s">
        <v>391</v>
      </c>
      <c r="I185" s="202"/>
      <c r="J185" s="202"/>
      <c r="K185" s="202" t="s">
        <v>30</v>
      </c>
      <c r="L185" s="204"/>
      <c r="M185" s="202"/>
      <c r="N185" s="202" t="s">
        <v>347</v>
      </c>
      <c r="O185" s="202"/>
      <c r="P185" s="202"/>
      <c r="Q185" s="203"/>
      <c r="R185" s="205"/>
      <c r="S185" s="203"/>
      <c r="T185" s="210"/>
      <c r="U185" s="202"/>
      <c r="V185" s="202"/>
      <c r="W185" s="202" t="s">
        <v>54</v>
      </c>
      <c r="X185" s="202"/>
      <c r="Y185" s="202"/>
      <c r="Z185" s="202" t="s">
        <v>55</v>
      </c>
      <c r="AB185" s="201"/>
      <c r="AC185" s="208" t="str">
        <f t="shared" ref="AC185:AK185" si="17">AC229</f>
        <v>#</v>
      </c>
      <c r="AD185" s="209" t="str">
        <f t="shared" si="17"/>
        <v>月曜</v>
      </c>
      <c r="AE185" s="209" t="str">
        <f t="shared" si="17"/>
        <v>火曜</v>
      </c>
      <c r="AF185" s="209" t="str">
        <f t="shared" si="17"/>
        <v>木曜段紙</v>
      </c>
      <c r="AG185" s="209" t="str">
        <f t="shared" si="17"/>
        <v>水曜金属</v>
      </c>
      <c r="AH185" s="209" t="str">
        <f t="shared" si="17"/>
        <v>水曜</v>
      </c>
      <c r="AI185" s="209" t="str">
        <f t="shared" si="17"/>
        <v>木曜</v>
      </c>
      <c r="AJ185" s="209" t="str">
        <f t="shared" si="17"/>
        <v>金曜</v>
      </c>
      <c r="AK185" s="209" t="str">
        <f t="shared" si="17"/>
        <v>土曜</v>
      </c>
    </row>
    <row r="186" spans="1:37" ht="21" customHeight="1">
      <c r="A186" s="241" t="s">
        <v>380</v>
      </c>
      <c r="B186" s="202" t="s">
        <v>73</v>
      </c>
      <c r="C186" s="202" t="s">
        <v>27</v>
      </c>
      <c r="D186" s="280">
        <v>185</v>
      </c>
      <c r="E186" s="202">
        <v>183</v>
      </c>
      <c r="F186" s="202" t="s">
        <v>392</v>
      </c>
      <c r="G186" s="203"/>
      <c r="H186" s="202" t="s">
        <v>393</v>
      </c>
      <c r="I186" s="202"/>
      <c r="J186" s="202"/>
      <c r="K186" s="202"/>
      <c r="L186" s="204"/>
      <c r="M186" s="202"/>
      <c r="N186" s="202"/>
      <c r="O186" s="202"/>
      <c r="P186" s="202"/>
      <c r="Q186" s="203"/>
      <c r="R186" s="205"/>
      <c r="S186" s="203"/>
      <c r="T186" s="210"/>
      <c r="U186" s="202"/>
      <c r="V186" s="202"/>
      <c r="W186" s="202"/>
      <c r="X186" s="202"/>
      <c r="Y186" s="202"/>
      <c r="Z186" s="202"/>
      <c r="AB186" s="201"/>
      <c r="AC186" s="208" t="str">
        <f t="shared" ref="AC186:AK186" si="18">AC4</f>
        <v>段紙</v>
      </c>
      <c r="AD186" s="209">
        <f t="shared" si="18"/>
        <v>2</v>
      </c>
      <c r="AE186" s="209">
        <f t="shared" si="18"/>
        <v>0</v>
      </c>
      <c r="AF186" s="209">
        <f t="shared" si="18"/>
        <v>2</v>
      </c>
      <c r="AG186" s="209">
        <f t="shared" si="18"/>
        <v>2</v>
      </c>
      <c r="AH186" s="209">
        <f t="shared" si="18"/>
        <v>0</v>
      </c>
      <c r="AI186" s="209">
        <f t="shared" si="18"/>
        <v>2</v>
      </c>
      <c r="AJ186" s="209">
        <f t="shared" si="18"/>
        <v>0</v>
      </c>
      <c r="AK186" s="209">
        <f t="shared" si="18"/>
        <v>0</v>
      </c>
    </row>
    <row r="187" spans="1:37" ht="21" customHeight="1">
      <c r="A187" s="240" t="s">
        <v>394</v>
      </c>
      <c r="B187" s="202" t="s">
        <v>73</v>
      </c>
      <c r="C187" s="202" t="s">
        <v>27</v>
      </c>
      <c r="D187" s="281">
        <v>186</v>
      </c>
      <c r="E187" s="202">
        <v>184</v>
      </c>
      <c r="F187" s="202" t="s">
        <v>395</v>
      </c>
      <c r="G187" s="203"/>
      <c r="H187" s="202" t="s">
        <v>396</v>
      </c>
      <c r="I187" s="202" t="s">
        <v>31</v>
      </c>
      <c r="J187" s="202"/>
      <c r="K187" s="202" t="s">
        <v>31</v>
      </c>
      <c r="L187" s="204"/>
      <c r="M187" s="202" t="s">
        <v>67</v>
      </c>
      <c r="N187" s="202"/>
      <c r="O187" s="202"/>
      <c r="P187" s="202" t="s">
        <v>14</v>
      </c>
      <c r="Q187" s="203"/>
      <c r="R187" s="205"/>
      <c r="S187" s="203"/>
      <c r="T187" s="210"/>
      <c r="U187" s="202" t="s">
        <v>48</v>
      </c>
      <c r="V187" s="202"/>
      <c r="W187" s="202" t="s">
        <v>54</v>
      </c>
      <c r="X187" s="202"/>
      <c r="Y187" s="202" t="s">
        <v>33</v>
      </c>
      <c r="Z187" s="202"/>
      <c r="AB187" s="201"/>
      <c r="AC187" s="208" t="str">
        <f t="shared" ref="AC187:AK187" si="19">AC7</f>
        <v>金属</v>
      </c>
      <c r="AD187" s="209">
        <f t="shared" si="19"/>
        <v>0</v>
      </c>
      <c r="AE187" s="209">
        <f t="shared" si="19"/>
        <v>0</v>
      </c>
      <c r="AF187" s="209">
        <f t="shared" si="19"/>
        <v>0</v>
      </c>
      <c r="AG187" s="209">
        <f t="shared" si="19"/>
        <v>0</v>
      </c>
      <c r="AH187" s="209">
        <f t="shared" si="19"/>
        <v>0</v>
      </c>
      <c r="AI187" s="209">
        <f t="shared" si="19"/>
        <v>0</v>
      </c>
      <c r="AJ187" s="209">
        <f t="shared" si="19"/>
        <v>0</v>
      </c>
      <c r="AK187" s="209">
        <f t="shared" si="19"/>
        <v>67</v>
      </c>
    </row>
    <row r="188" spans="1:37" ht="21" customHeight="1">
      <c r="A188" s="240" t="s">
        <v>394</v>
      </c>
      <c r="B188" s="202" t="s">
        <v>73</v>
      </c>
      <c r="C188" s="202" t="s">
        <v>27</v>
      </c>
      <c r="D188" s="281">
        <v>187</v>
      </c>
      <c r="E188" s="202">
        <v>185</v>
      </c>
      <c r="F188" s="202" t="s">
        <v>397</v>
      </c>
      <c r="G188" s="203" t="s">
        <v>104</v>
      </c>
      <c r="H188" s="202" t="s">
        <v>398</v>
      </c>
      <c r="I188" s="202" t="s">
        <v>31</v>
      </c>
      <c r="J188" s="202"/>
      <c r="K188" s="202" t="s">
        <v>31</v>
      </c>
      <c r="L188" s="204"/>
      <c r="M188" s="202" t="s">
        <v>67</v>
      </c>
      <c r="N188" s="202"/>
      <c r="O188" s="202"/>
      <c r="P188" s="202" t="s">
        <v>14</v>
      </c>
      <c r="Q188" s="203"/>
      <c r="R188" s="205"/>
      <c r="S188" s="203"/>
      <c r="T188" s="210"/>
      <c r="U188" s="202" t="s">
        <v>48</v>
      </c>
      <c r="V188" s="202"/>
      <c r="W188" s="202" t="s">
        <v>54</v>
      </c>
      <c r="X188" s="202"/>
      <c r="Y188" s="202" t="s">
        <v>33</v>
      </c>
      <c r="Z188" s="202"/>
      <c r="AB188" s="201"/>
      <c r="AC188" s="208" t="str">
        <f t="shared" ref="AC188:AK188" si="20">AC8</f>
        <v>〇</v>
      </c>
      <c r="AD188" s="209">
        <f t="shared" si="20"/>
        <v>0</v>
      </c>
      <c r="AE188" s="209">
        <f t="shared" si="20"/>
        <v>0</v>
      </c>
      <c r="AF188" s="209">
        <f t="shared" si="20"/>
        <v>0</v>
      </c>
      <c r="AG188" s="209">
        <f t="shared" si="20"/>
        <v>0</v>
      </c>
      <c r="AH188" s="209">
        <f t="shared" si="20"/>
        <v>0</v>
      </c>
      <c r="AI188" s="209">
        <f t="shared" si="20"/>
        <v>21</v>
      </c>
      <c r="AJ188" s="209">
        <f t="shared" si="20"/>
        <v>0</v>
      </c>
      <c r="AK188" s="209">
        <f t="shared" si="20"/>
        <v>0</v>
      </c>
    </row>
    <row r="189" spans="1:37" ht="21" customHeight="1">
      <c r="A189" s="240" t="s">
        <v>394</v>
      </c>
      <c r="B189" s="202" t="s">
        <v>98</v>
      </c>
      <c r="C189" s="202" t="s">
        <v>27</v>
      </c>
      <c r="D189" s="281">
        <v>188</v>
      </c>
      <c r="E189" s="202">
        <v>186</v>
      </c>
      <c r="F189" s="202" t="s">
        <v>399</v>
      </c>
      <c r="G189" s="203"/>
      <c r="H189" s="202" t="s">
        <v>400</v>
      </c>
      <c r="I189" s="202"/>
      <c r="J189" s="202"/>
      <c r="K189" s="202" t="s">
        <v>31</v>
      </c>
      <c r="L189" s="204"/>
      <c r="M189" s="202"/>
      <c r="N189" s="202"/>
      <c r="O189" s="202"/>
      <c r="P189" s="202"/>
      <c r="Q189" s="203"/>
      <c r="R189" s="205"/>
      <c r="S189" s="203"/>
      <c r="T189" s="210"/>
      <c r="U189" s="202"/>
      <c r="V189" s="202"/>
      <c r="W189" s="202" t="s">
        <v>54</v>
      </c>
      <c r="X189" s="202"/>
      <c r="Y189" s="202"/>
      <c r="Z189" s="202"/>
      <c r="AB189" s="201"/>
      <c r="AC189" s="208" t="str">
        <f t="shared" ref="AC189:AK189" si="21">AC9</f>
        <v>N-（西山）</v>
      </c>
      <c r="AD189" s="209">
        <f t="shared" si="21"/>
        <v>60</v>
      </c>
      <c r="AE189" s="209">
        <f t="shared" si="21"/>
        <v>49</v>
      </c>
      <c r="AF189" s="209">
        <f t="shared" si="21"/>
        <v>47</v>
      </c>
      <c r="AG189" s="209">
        <f t="shared" si="21"/>
        <v>61</v>
      </c>
      <c r="AH189" s="209">
        <f t="shared" si="21"/>
        <v>61</v>
      </c>
      <c r="AI189" s="209">
        <f t="shared" si="21"/>
        <v>0</v>
      </c>
      <c r="AJ189" s="209">
        <f t="shared" si="21"/>
        <v>0</v>
      </c>
      <c r="AK189" s="209">
        <f t="shared" si="21"/>
        <v>0</v>
      </c>
    </row>
    <row r="190" spans="1:37" ht="21" customHeight="1">
      <c r="A190" s="240" t="s">
        <v>394</v>
      </c>
      <c r="B190" s="202" t="s">
        <v>79</v>
      </c>
      <c r="C190" s="202" t="s">
        <v>27</v>
      </c>
      <c r="D190" s="281">
        <v>189</v>
      </c>
      <c r="E190" s="202">
        <v>187</v>
      </c>
      <c r="F190" s="202" t="s">
        <v>401</v>
      </c>
      <c r="G190" s="203"/>
      <c r="H190" s="202" t="s">
        <v>402</v>
      </c>
      <c r="I190" s="202"/>
      <c r="J190" s="202"/>
      <c r="K190" s="202" t="s">
        <v>31</v>
      </c>
      <c r="L190" s="204"/>
      <c r="M190" s="202"/>
      <c r="N190" s="202"/>
      <c r="O190" s="202"/>
      <c r="P190" s="202"/>
      <c r="Q190" s="203"/>
      <c r="R190" s="205"/>
      <c r="S190" s="203"/>
      <c r="T190" s="210"/>
      <c r="U190" s="202"/>
      <c r="V190" s="202"/>
      <c r="W190" s="202" t="s">
        <v>54</v>
      </c>
      <c r="X190" s="202"/>
      <c r="Y190" s="202"/>
      <c r="Z190" s="202"/>
      <c r="AB190" s="201"/>
      <c r="AC190" s="208" t="str">
        <f t="shared" ref="AC190:AK190" si="22">AC10</f>
        <v>K-</v>
      </c>
      <c r="AD190" s="209">
        <f t="shared" si="22"/>
        <v>54</v>
      </c>
      <c r="AE190" s="209">
        <f t="shared" si="22"/>
        <v>60</v>
      </c>
      <c r="AF190" s="209">
        <f t="shared" si="22"/>
        <v>94</v>
      </c>
      <c r="AG190" s="209">
        <f t="shared" si="22"/>
        <v>37</v>
      </c>
      <c r="AH190" s="209">
        <f t="shared" si="22"/>
        <v>42</v>
      </c>
      <c r="AI190" s="209">
        <f t="shared" si="22"/>
        <v>0</v>
      </c>
      <c r="AJ190" s="209">
        <f t="shared" si="22"/>
        <v>0</v>
      </c>
      <c r="AK190" s="209">
        <f t="shared" si="22"/>
        <v>0</v>
      </c>
    </row>
    <row r="191" spans="1:37" ht="21" customHeight="1">
      <c r="A191" s="240" t="s">
        <v>394</v>
      </c>
      <c r="B191" s="202" t="s">
        <v>73</v>
      </c>
      <c r="C191" s="202" t="s">
        <v>27</v>
      </c>
      <c r="D191" s="281">
        <v>190</v>
      </c>
      <c r="E191" s="202">
        <v>188</v>
      </c>
      <c r="F191" s="202" t="s">
        <v>403</v>
      </c>
      <c r="G191" s="203"/>
      <c r="H191" s="202" t="s">
        <v>404</v>
      </c>
      <c r="I191" s="202"/>
      <c r="J191" s="202" t="s">
        <v>31</v>
      </c>
      <c r="K191" s="202"/>
      <c r="L191" s="204"/>
      <c r="M191" s="202" t="s">
        <v>67</v>
      </c>
      <c r="N191" s="202"/>
      <c r="O191" s="202"/>
      <c r="P191" s="202"/>
      <c r="Q191" s="203"/>
      <c r="R191" s="205"/>
      <c r="S191" s="203"/>
      <c r="T191" s="202"/>
      <c r="U191" s="202"/>
      <c r="V191" s="202" t="s">
        <v>32</v>
      </c>
      <c r="W191" s="202"/>
      <c r="X191" s="202"/>
      <c r="Y191" s="202" t="s">
        <v>33</v>
      </c>
      <c r="Z191" s="202"/>
      <c r="AB191" s="201"/>
      <c r="AC191" s="208"/>
      <c r="AD191" s="209"/>
      <c r="AE191" s="209"/>
      <c r="AF191" s="209"/>
      <c r="AG191" s="209"/>
      <c r="AH191" s="209"/>
      <c r="AI191" s="209"/>
      <c r="AJ191" s="209"/>
      <c r="AK191" s="209"/>
    </row>
    <row r="192" spans="1:37" ht="21" customHeight="1">
      <c r="A192" s="240" t="s">
        <v>394</v>
      </c>
      <c r="B192" s="202" t="s">
        <v>73</v>
      </c>
      <c r="C192" s="202" t="s">
        <v>27</v>
      </c>
      <c r="D192" s="281">
        <v>191</v>
      </c>
      <c r="E192" s="202">
        <v>189</v>
      </c>
      <c r="F192" s="202" t="s">
        <v>405</v>
      </c>
      <c r="G192" s="203"/>
      <c r="H192" s="202" t="s">
        <v>406</v>
      </c>
      <c r="I192" s="202"/>
      <c r="J192" s="202" t="s">
        <v>31</v>
      </c>
      <c r="K192" s="202"/>
      <c r="L192" s="204"/>
      <c r="M192" s="202" t="s">
        <v>67</v>
      </c>
      <c r="N192" s="202"/>
      <c r="O192" s="202"/>
      <c r="P192" s="202"/>
      <c r="Q192" s="203"/>
      <c r="R192" s="205"/>
      <c r="S192" s="203"/>
      <c r="T192" s="210"/>
      <c r="U192" s="202"/>
      <c r="V192" s="202" t="s">
        <v>32</v>
      </c>
      <c r="W192" s="202"/>
      <c r="X192" s="202"/>
      <c r="Y192" s="202" t="s">
        <v>33</v>
      </c>
      <c r="Z192" s="202"/>
      <c r="AB192" s="201"/>
      <c r="AC192" s="208" t="str">
        <f t="shared" ref="AC192:AK192" si="23">AC11</f>
        <v>M-</v>
      </c>
      <c r="AD192" s="209">
        <f t="shared" si="23"/>
        <v>0</v>
      </c>
      <c r="AE192" s="209">
        <f t="shared" si="23"/>
        <v>0</v>
      </c>
      <c r="AF192" s="209">
        <f t="shared" si="23"/>
        <v>33</v>
      </c>
      <c r="AG192" s="209">
        <f t="shared" si="23"/>
        <v>0</v>
      </c>
      <c r="AH192" s="209">
        <f t="shared" si="23"/>
        <v>0</v>
      </c>
      <c r="AI192" s="209">
        <f t="shared" si="23"/>
        <v>0</v>
      </c>
      <c r="AJ192" s="209">
        <f t="shared" si="23"/>
        <v>0</v>
      </c>
      <c r="AK192" s="209">
        <f t="shared" si="23"/>
        <v>0</v>
      </c>
    </row>
    <row r="193" spans="1:37" ht="21" customHeight="1">
      <c r="A193" s="245" t="s">
        <v>407</v>
      </c>
      <c r="B193" s="202" t="s">
        <v>73</v>
      </c>
      <c r="C193" s="202" t="s">
        <v>27</v>
      </c>
      <c r="D193" s="282">
        <v>192</v>
      </c>
      <c r="E193" s="202">
        <v>190</v>
      </c>
      <c r="F193" s="202" t="s">
        <v>408</v>
      </c>
      <c r="G193" s="203" t="s">
        <v>52</v>
      </c>
      <c r="H193" s="202"/>
      <c r="I193" s="202"/>
      <c r="J193" s="202"/>
      <c r="K193" s="202"/>
      <c r="L193" s="204"/>
      <c r="M193" s="202" t="s">
        <v>31</v>
      </c>
      <c r="N193" s="202"/>
      <c r="O193" s="202"/>
      <c r="P193" s="202"/>
      <c r="Q193" s="203"/>
      <c r="R193" s="205"/>
      <c r="S193" s="203"/>
      <c r="T193" s="210"/>
      <c r="U193" s="202"/>
      <c r="V193" s="202"/>
      <c r="W193" s="202"/>
      <c r="X193" s="202"/>
      <c r="Y193" s="202" t="s">
        <v>33</v>
      </c>
      <c r="Z193" s="202"/>
      <c r="AB193" s="201"/>
      <c r="AC193" s="207"/>
      <c r="AE193" s="201"/>
    </row>
    <row r="194" spans="1:37" ht="21" customHeight="1">
      <c r="A194" s="254" t="s">
        <v>409</v>
      </c>
      <c r="B194" s="202" t="s">
        <v>26</v>
      </c>
      <c r="C194" s="202" t="s">
        <v>27</v>
      </c>
      <c r="D194" s="283">
        <v>193</v>
      </c>
      <c r="E194" s="202">
        <v>191</v>
      </c>
      <c r="F194" s="202" t="s">
        <v>410</v>
      </c>
      <c r="G194" s="203" t="s">
        <v>52</v>
      </c>
      <c r="H194" s="202" t="s">
        <v>411</v>
      </c>
      <c r="I194" s="202" t="s">
        <v>31</v>
      </c>
      <c r="J194" s="202" t="s">
        <v>31</v>
      </c>
      <c r="K194" s="202" t="s">
        <v>31</v>
      </c>
      <c r="L194" s="204" t="s">
        <v>31</v>
      </c>
      <c r="M194" s="202" t="s">
        <v>67</v>
      </c>
      <c r="N194" s="202" t="s">
        <v>347</v>
      </c>
      <c r="O194" s="202"/>
      <c r="P194" s="202"/>
      <c r="Q194" s="203"/>
      <c r="R194" s="205"/>
      <c r="S194" s="203"/>
      <c r="T194" s="210"/>
      <c r="U194" s="202" t="s">
        <v>48</v>
      </c>
      <c r="V194" s="202" t="s">
        <v>32</v>
      </c>
      <c r="W194" s="202" t="s">
        <v>54</v>
      </c>
      <c r="X194" s="202" t="s">
        <v>49</v>
      </c>
      <c r="Y194" s="202" t="s">
        <v>33</v>
      </c>
      <c r="Z194" s="202" t="s">
        <v>55</v>
      </c>
      <c r="AB194" s="201"/>
      <c r="AC194" s="208" t="str">
        <f t="shared" ref="AC194:AK194" si="24">AC12</f>
        <v>計</v>
      </c>
      <c r="AD194" s="209">
        <f t="shared" si="24"/>
        <v>116</v>
      </c>
      <c r="AE194" s="209">
        <f t="shared" si="24"/>
        <v>109</v>
      </c>
      <c r="AF194" s="209">
        <f t="shared" si="24"/>
        <v>176</v>
      </c>
      <c r="AG194" s="209">
        <f t="shared" si="24"/>
        <v>100</v>
      </c>
      <c r="AH194" s="209">
        <f t="shared" si="24"/>
        <v>103</v>
      </c>
      <c r="AI194" s="209">
        <f t="shared" si="24"/>
        <v>23</v>
      </c>
      <c r="AJ194" s="209">
        <f t="shared" si="24"/>
        <v>0</v>
      </c>
      <c r="AK194" s="209">
        <f t="shared" si="24"/>
        <v>67</v>
      </c>
    </row>
    <row r="195" spans="1:37" ht="21" customHeight="1">
      <c r="A195" s="254" t="s">
        <v>409</v>
      </c>
      <c r="B195" s="202" t="s">
        <v>98</v>
      </c>
      <c r="C195" s="202" t="s">
        <v>27</v>
      </c>
      <c r="D195" s="283">
        <v>194</v>
      </c>
      <c r="E195" s="202">
        <v>192</v>
      </c>
      <c r="F195" s="202" t="s">
        <v>412</v>
      </c>
      <c r="G195" s="203"/>
      <c r="H195" s="202" t="s">
        <v>413</v>
      </c>
      <c r="I195" s="202" t="s">
        <v>31</v>
      </c>
      <c r="J195" s="202" t="s">
        <v>31</v>
      </c>
      <c r="K195" s="202" t="s">
        <v>31</v>
      </c>
      <c r="L195" s="204" t="s">
        <v>31</v>
      </c>
      <c r="M195" s="202" t="s">
        <v>31</v>
      </c>
      <c r="N195" s="202" t="s">
        <v>347</v>
      </c>
      <c r="O195" s="202"/>
      <c r="P195" s="202"/>
      <c r="Q195" s="203"/>
      <c r="R195" s="205"/>
      <c r="S195" s="203"/>
      <c r="T195" s="210"/>
      <c r="U195" s="202" t="s">
        <v>48</v>
      </c>
      <c r="V195" s="202" t="s">
        <v>32</v>
      </c>
      <c r="W195" s="202" t="s">
        <v>54</v>
      </c>
      <c r="X195" s="202" t="s">
        <v>49</v>
      </c>
      <c r="Y195" s="202" t="s">
        <v>33</v>
      </c>
      <c r="Z195" s="202" t="s">
        <v>55</v>
      </c>
      <c r="AB195" s="201"/>
      <c r="AC195" s="207"/>
      <c r="AE195" s="201"/>
    </row>
    <row r="196" spans="1:37" ht="21" customHeight="1">
      <c r="A196" s="254" t="s">
        <v>409</v>
      </c>
      <c r="B196" s="202" t="s">
        <v>75</v>
      </c>
      <c r="C196" s="202" t="s">
        <v>27</v>
      </c>
      <c r="D196" s="283">
        <v>195</v>
      </c>
      <c r="E196" s="202">
        <v>193</v>
      </c>
      <c r="F196" s="202" t="s">
        <v>414</v>
      </c>
      <c r="G196" s="203"/>
      <c r="H196" s="202" t="s">
        <v>415</v>
      </c>
      <c r="I196" s="202" t="s">
        <v>31</v>
      </c>
      <c r="J196" s="202"/>
      <c r="K196" s="202"/>
      <c r="L196" s="204" t="s">
        <v>31</v>
      </c>
      <c r="M196" s="202"/>
      <c r="N196" s="202"/>
      <c r="O196" s="202"/>
      <c r="P196" s="202" t="s">
        <v>14</v>
      </c>
      <c r="Q196" s="203"/>
      <c r="R196" s="205"/>
      <c r="S196" s="203"/>
      <c r="T196" s="210"/>
      <c r="U196" s="202" t="s">
        <v>48</v>
      </c>
      <c r="V196" s="202"/>
      <c r="W196" s="202"/>
      <c r="X196" s="202" t="s">
        <v>49</v>
      </c>
      <c r="Y196" s="202"/>
      <c r="Z196" s="202"/>
      <c r="AB196" s="201"/>
      <c r="AC196" s="207"/>
      <c r="AE196" s="201"/>
    </row>
    <row r="197" spans="1:37" ht="21" customHeight="1">
      <c r="A197" s="254" t="s">
        <v>409</v>
      </c>
      <c r="B197" s="202" t="s">
        <v>34</v>
      </c>
      <c r="C197" s="202" t="s">
        <v>27</v>
      </c>
      <c r="D197" s="283">
        <v>196</v>
      </c>
      <c r="E197" s="202">
        <v>194</v>
      </c>
      <c r="F197" s="202" t="s">
        <v>416</v>
      </c>
      <c r="G197" s="203"/>
      <c r="H197" s="202" t="s">
        <v>417</v>
      </c>
      <c r="I197" s="202" t="s">
        <v>31</v>
      </c>
      <c r="J197" s="202"/>
      <c r="K197" s="202" t="s">
        <v>31</v>
      </c>
      <c r="L197" s="204"/>
      <c r="M197" s="202" t="s">
        <v>67</v>
      </c>
      <c r="N197" s="202"/>
      <c r="O197" s="202"/>
      <c r="P197" s="202" t="s">
        <v>14</v>
      </c>
      <c r="Q197" s="203"/>
      <c r="R197" s="205"/>
      <c r="S197" s="203"/>
      <c r="T197" s="210"/>
      <c r="U197" s="202" t="s">
        <v>48</v>
      </c>
      <c r="V197" s="202"/>
      <c r="W197" s="202" t="s">
        <v>54</v>
      </c>
      <c r="X197" s="202"/>
      <c r="Y197" s="202" t="s">
        <v>33</v>
      </c>
      <c r="Z197" s="202"/>
      <c r="AB197" s="201"/>
      <c r="AC197" s="207"/>
      <c r="AE197" s="201"/>
    </row>
    <row r="198" spans="1:37" ht="21" customHeight="1">
      <c r="A198" s="254" t="s">
        <v>409</v>
      </c>
      <c r="B198" s="202" t="s">
        <v>73</v>
      </c>
      <c r="C198" s="202" t="s">
        <v>27</v>
      </c>
      <c r="D198" s="283">
        <v>197</v>
      </c>
      <c r="E198" s="202">
        <v>195</v>
      </c>
      <c r="F198" s="202" t="s">
        <v>418</v>
      </c>
      <c r="G198" s="203"/>
      <c r="H198" s="202" t="s">
        <v>419</v>
      </c>
      <c r="I198" s="202"/>
      <c r="J198" s="202"/>
      <c r="K198" s="202"/>
      <c r="L198" s="204"/>
      <c r="M198" s="202" t="s">
        <v>67</v>
      </c>
      <c r="N198" s="202"/>
      <c r="O198" s="202"/>
      <c r="P198" s="202"/>
      <c r="Q198" s="203"/>
      <c r="R198" s="205"/>
      <c r="S198" s="203"/>
      <c r="T198" s="210"/>
      <c r="U198" s="202"/>
      <c r="V198" s="202"/>
      <c r="W198" s="202"/>
      <c r="X198" s="202"/>
      <c r="Y198" s="202" t="s">
        <v>33</v>
      </c>
      <c r="Z198" s="202"/>
      <c r="AB198" s="201"/>
      <c r="AC198" s="207"/>
      <c r="AE198" s="201"/>
    </row>
    <row r="199" spans="1:37" ht="21" customHeight="1">
      <c r="A199" s="254" t="s">
        <v>409</v>
      </c>
      <c r="B199" s="202" t="s">
        <v>73</v>
      </c>
      <c r="C199" s="202" t="s">
        <v>27</v>
      </c>
      <c r="D199" s="283">
        <v>198</v>
      </c>
      <c r="E199" s="202">
        <v>196</v>
      </c>
      <c r="F199" s="202" t="s">
        <v>420</v>
      </c>
      <c r="G199" s="203"/>
      <c r="H199" s="202" t="s">
        <v>421</v>
      </c>
      <c r="I199" s="202"/>
      <c r="J199" s="202"/>
      <c r="K199" s="202"/>
      <c r="L199" s="204"/>
      <c r="M199" s="202" t="s">
        <v>67</v>
      </c>
      <c r="N199" s="202"/>
      <c r="O199" s="202"/>
      <c r="P199" s="202"/>
      <c r="Q199" s="203"/>
      <c r="R199" s="205"/>
      <c r="S199" s="203"/>
      <c r="T199" s="202"/>
      <c r="U199" s="202"/>
      <c r="V199" s="202"/>
      <c r="W199" s="202"/>
      <c r="X199" s="202"/>
      <c r="Y199" s="202" t="s">
        <v>33</v>
      </c>
      <c r="Z199" s="202"/>
      <c r="AB199" s="201"/>
      <c r="AC199" s="207"/>
      <c r="AE199" s="201"/>
    </row>
    <row r="200" spans="1:37" ht="21" customHeight="1">
      <c r="A200" s="239" t="s">
        <v>422</v>
      </c>
      <c r="B200" s="202" t="s">
        <v>79</v>
      </c>
      <c r="C200" s="202" t="s">
        <v>27</v>
      </c>
      <c r="D200" s="284">
        <v>199</v>
      </c>
      <c r="E200" s="202">
        <v>197</v>
      </c>
      <c r="F200" s="202" t="s">
        <v>423</v>
      </c>
      <c r="G200" s="203"/>
      <c r="H200" s="202" t="s">
        <v>424</v>
      </c>
      <c r="I200" s="202"/>
      <c r="J200" s="202" t="s">
        <v>31</v>
      </c>
      <c r="K200" s="202"/>
      <c r="L200" s="204"/>
      <c r="M200" s="202" t="s">
        <v>67</v>
      </c>
      <c r="N200" s="202"/>
      <c r="O200" s="202"/>
      <c r="P200" s="202"/>
      <c r="Q200" s="203"/>
      <c r="R200" s="205"/>
      <c r="S200" s="203"/>
      <c r="T200" s="210"/>
      <c r="U200" s="202"/>
      <c r="V200" s="202" t="s">
        <v>32</v>
      </c>
      <c r="W200" s="202"/>
      <c r="X200" s="202"/>
      <c r="Y200" s="202" t="s">
        <v>33</v>
      </c>
      <c r="Z200" s="202"/>
      <c r="AB200" s="201"/>
      <c r="AC200" s="207"/>
      <c r="AE200" s="201"/>
    </row>
    <row r="201" spans="1:37" ht="21" customHeight="1">
      <c r="A201" s="258" t="s">
        <v>425</v>
      </c>
      <c r="B201" s="202" t="s">
        <v>73</v>
      </c>
      <c r="C201" s="202" t="s">
        <v>27</v>
      </c>
      <c r="D201" s="285">
        <v>200</v>
      </c>
      <c r="E201" s="202">
        <v>198</v>
      </c>
      <c r="F201" s="202" t="s">
        <v>426</v>
      </c>
      <c r="G201" s="203"/>
      <c r="H201" s="202"/>
      <c r="I201" s="202"/>
      <c r="J201" s="202" t="s">
        <v>31</v>
      </c>
      <c r="K201" s="202"/>
      <c r="L201" s="204"/>
      <c r="M201" s="202" t="s">
        <v>67</v>
      </c>
      <c r="N201" s="202"/>
      <c r="O201" s="202"/>
      <c r="P201" s="202"/>
      <c r="Q201" s="203"/>
      <c r="R201" s="205"/>
      <c r="S201" s="203"/>
      <c r="T201" s="210"/>
      <c r="U201" s="202"/>
      <c r="V201" s="202" t="s">
        <v>32</v>
      </c>
      <c r="W201" s="202"/>
      <c r="X201" s="202" t="s">
        <v>49</v>
      </c>
      <c r="Y201" s="202" t="s">
        <v>33</v>
      </c>
      <c r="Z201" s="202"/>
      <c r="AB201" s="201"/>
      <c r="AC201" s="207"/>
      <c r="AE201" s="201"/>
    </row>
    <row r="202" spans="1:37" ht="21" customHeight="1">
      <c r="A202" s="258" t="s">
        <v>425</v>
      </c>
      <c r="B202" s="202" t="s">
        <v>75</v>
      </c>
      <c r="C202" s="202" t="s">
        <v>27</v>
      </c>
      <c r="D202" s="285">
        <v>201</v>
      </c>
      <c r="E202" s="202">
        <v>199</v>
      </c>
      <c r="F202" s="202" t="s">
        <v>427</v>
      </c>
      <c r="G202" s="203"/>
      <c r="H202" s="202" t="s">
        <v>428</v>
      </c>
      <c r="I202" s="202" t="s">
        <v>31</v>
      </c>
      <c r="J202" s="202"/>
      <c r="K202" s="202"/>
      <c r="L202" s="204" t="s">
        <v>31</v>
      </c>
      <c r="M202" s="202"/>
      <c r="N202" s="202"/>
      <c r="O202" s="202"/>
      <c r="P202" s="202"/>
      <c r="Q202" s="203"/>
      <c r="R202" s="205" t="s">
        <v>429</v>
      </c>
      <c r="S202" s="203"/>
      <c r="T202" s="210"/>
      <c r="U202" s="202" t="s">
        <v>48</v>
      </c>
      <c r="V202" s="202"/>
      <c r="W202" s="202"/>
      <c r="X202" s="202" t="s">
        <v>49</v>
      </c>
      <c r="Y202" s="202"/>
      <c r="Z202" s="202"/>
      <c r="AB202" s="201"/>
      <c r="AC202" s="207"/>
      <c r="AE202" s="201"/>
    </row>
    <row r="203" spans="1:37" ht="21" customHeight="1">
      <c r="A203" s="258" t="s">
        <v>425</v>
      </c>
      <c r="B203" s="202" t="s">
        <v>73</v>
      </c>
      <c r="C203" s="202" t="s">
        <v>27</v>
      </c>
      <c r="D203" s="285">
        <v>202</v>
      </c>
      <c r="E203" s="202">
        <v>200</v>
      </c>
      <c r="F203" s="202" t="s">
        <v>430</v>
      </c>
      <c r="G203" s="203"/>
      <c r="H203" s="202" t="s">
        <v>431</v>
      </c>
      <c r="I203" s="202" t="s">
        <v>31</v>
      </c>
      <c r="J203" s="202"/>
      <c r="K203" s="202" t="s">
        <v>31</v>
      </c>
      <c r="L203" s="204"/>
      <c r="M203" s="202" t="s">
        <v>67</v>
      </c>
      <c r="N203" s="202"/>
      <c r="O203" s="202"/>
      <c r="P203" s="202"/>
      <c r="Q203" s="203"/>
      <c r="R203" s="205"/>
      <c r="S203" s="203"/>
      <c r="T203" s="210"/>
      <c r="U203" s="202" t="s">
        <v>48</v>
      </c>
      <c r="V203" s="202"/>
      <c r="W203" s="202" t="s">
        <v>54</v>
      </c>
      <c r="X203" s="202"/>
      <c r="Y203" s="202" t="s">
        <v>33</v>
      </c>
      <c r="Z203" s="202"/>
      <c r="AB203" s="201"/>
      <c r="AC203" s="207"/>
      <c r="AE203" s="201"/>
    </row>
    <row r="204" spans="1:37" ht="21" customHeight="1">
      <c r="A204" s="258" t="s">
        <v>425</v>
      </c>
      <c r="B204" s="202" t="s">
        <v>73</v>
      </c>
      <c r="C204" s="202" t="s">
        <v>27</v>
      </c>
      <c r="D204" s="285">
        <v>203</v>
      </c>
      <c r="E204" s="202">
        <v>201</v>
      </c>
      <c r="F204" s="202" t="s">
        <v>432</v>
      </c>
      <c r="G204" s="203" t="s">
        <v>52</v>
      </c>
      <c r="H204" s="202" t="s">
        <v>433</v>
      </c>
      <c r="I204" s="202"/>
      <c r="J204" s="202" t="s">
        <v>31</v>
      </c>
      <c r="K204" s="202"/>
      <c r="L204" s="204"/>
      <c r="M204" s="202" t="s">
        <v>67</v>
      </c>
      <c r="N204" s="202"/>
      <c r="O204" s="202"/>
      <c r="P204" s="202"/>
      <c r="Q204" s="203"/>
      <c r="R204" s="205"/>
      <c r="S204" s="203"/>
      <c r="T204" s="210"/>
      <c r="U204" s="202"/>
      <c r="V204" s="202" t="s">
        <v>32</v>
      </c>
      <c r="W204" s="202"/>
      <c r="X204" s="202"/>
      <c r="Y204" s="202" t="s">
        <v>33</v>
      </c>
      <c r="Z204" s="202"/>
      <c r="AB204" s="201"/>
      <c r="AC204" s="207"/>
      <c r="AE204" s="201"/>
    </row>
    <row r="205" spans="1:37" ht="21" customHeight="1">
      <c r="A205" s="258" t="s">
        <v>425</v>
      </c>
      <c r="B205" s="202" t="s">
        <v>73</v>
      </c>
      <c r="C205" s="202" t="s">
        <v>27</v>
      </c>
      <c r="D205" s="285">
        <v>204</v>
      </c>
      <c r="E205" s="202">
        <v>202</v>
      </c>
      <c r="F205" s="202" t="s">
        <v>434</v>
      </c>
      <c r="G205" s="203"/>
      <c r="H205" s="202"/>
      <c r="I205" s="202"/>
      <c r="J205" s="202"/>
      <c r="K205" s="202"/>
      <c r="L205" s="204"/>
      <c r="M205" s="202" t="s">
        <v>67</v>
      </c>
      <c r="N205" s="202"/>
      <c r="O205" s="202"/>
      <c r="P205" s="202"/>
      <c r="Q205" s="203"/>
      <c r="R205" s="205"/>
      <c r="S205" s="203"/>
      <c r="T205" s="210"/>
      <c r="U205" s="202"/>
      <c r="V205" s="202"/>
      <c r="W205" s="202"/>
      <c r="X205" s="202"/>
      <c r="Y205" s="202" t="s">
        <v>33</v>
      </c>
      <c r="Z205" s="202"/>
      <c r="AB205" s="201"/>
      <c r="AC205" s="207"/>
      <c r="AE205" s="201"/>
    </row>
    <row r="206" spans="1:37" ht="21" customHeight="1">
      <c r="A206" s="258" t="s">
        <v>435</v>
      </c>
      <c r="B206" s="202" t="s">
        <v>73</v>
      </c>
      <c r="C206" s="202" t="s">
        <v>27</v>
      </c>
      <c r="D206" s="285">
        <v>205</v>
      </c>
      <c r="E206" s="202">
        <v>203</v>
      </c>
      <c r="F206" s="202" t="s">
        <v>436</v>
      </c>
      <c r="G206" s="203" t="s">
        <v>104</v>
      </c>
      <c r="H206" s="202"/>
      <c r="I206" s="202"/>
      <c r="J206" s="202" t="s">
        <v>31</v>
      </c>
      <c r="K206" s="202"/>
      <c r="L206" s="204"/>
      <c r="M206" s="202" t="s">
        <v>67</v>
      </c>
      <c r="N206" s="202"/>
      <c r="O206" s="202"/>
      <c r="P206" s="202"/>
      <c r="Q206" s="203"/>
      <c r="R206" s="205"/>
      <c r="S206" s="203"/>
      <c r="T206" s="210"/>
      <c r="U206" s="202"/>
      <c r="V206" s="202" t="s">
        <v>32</v>
      </c>
      <c r="W206" s="202"/>
      <c r="X206" s="202"/>
      <c r="Y206" s="202" t="s">
        <v>33</v>
      </c>
      <c r="Z206" s="202"/>
      <c r="AB206" s="201"/>
      <c r="AC206" s="207"/>
      <c r="AE206" s="201"/>
    </row>
    <row r="207" spans="1:37" ht="21" customHeight="1">
      <c r="A207" s="258" t="s">
        <v>435</v>
      </c>
      <c r="B207" s="202" t="s">
        <v>73</v>
      </c>
      <c r="C207" s="202" t="s">
        <v>27</v>
      </c>
      <c r="D207" s="285">
        <v>206</v>
      </c>
      <c r="E207" s="202">
        <v>204</v>
      </c>
      <c r="F207" s="202" t="s">
        <v>437</v>
      </c>
      <c r="G207" s="203"/>
      <c r="H207" s="202" t="s">
        <v>438</v>
      </c>
      <c r="I207" s="202"/>
      <c r="J207" s="202"/>
      <c r="K207" s="202"/>
      <c r="L207" s="204"/>
      <c r="M207" s="202" t="s">
        <v>67</v>
      </c>
      <c r="N207" s="202"/>
      <c r="O207" s="202"/>
      <c r="P207" s="202"/>
      <c r="Q207" s="203"/>
      <c r="R207" s="205"/>
      <c r="S207" s="203"/>
      <c r="T207" s="210"/>
      <c r="U207" s="202"/>
      <c r="V207" s="202"/>
      <c r="W207" s="202"/>
      <c r="X207" s="202"/>
      <c r="Y207" s="202" t="s">
        <v>33</v>
      </c>
      <c r="Z207" s="202"/>
      <c r="AB207" s="201"/>
      <c r="AC207" s="207"/>
      <c r="AE207" s="201"/>
    </row>
    <row r="208" spans="1:37" ht="21" customHeight="1">
      <c r="A208" s="258" t="s">
        <v>435</v>
      </c>
      <c r="B208" s="202" t="s">
        <v>73</v>
      </c>
      <c r="C208" s="202" t="s">
        <v>27</v>
      </c>
      <c r="D208" s="285">
        <v>207</v>
      </c>
      <c r="E208" s="202">
        <v>205</v>
      </c>
      <c r="F208" s="202" t="s">
        <v>439</v>
      </c>
      <c r="G208" s="203"/>
      <c r="H208" s="202"/>
      <c r="I208" s="202"/>
      <c r="J208" s="202"/>
      <c r="K208" s="202"/>
      <c r="L208" s="204"/>
      <c r="M208" s="202" t="s">
        <v>67</v>
      </c>
      <c r="N208" s="202"/>
      <c r="O208" s="202"/>
      <c r="P208" s="202"/>
      <c r="Q208" s="203"/>
      <c r="R208" s="205"/>
      <c r="S208" s="203"/>
      <c r="T208" s="210"/>
      <c r="U208" s="202"/>
      <c r="V208" s="202"/>
      <c r="W208" s="202"/>
      <c r="X208" s="202"/>
      <c r="Y208" s="202" t="s">
        <v>33</v>
      </c>
      <c r="Z208" s="202"/>
      <c r="AB208" s="201"/>
      <c r="AC208" s="207"/>
      <c r="AE208" s="201"/>
    </row>
    <row r="209" spans="1:31" ht="21" customHeight="1">
      <c r="A209" s="258" t="s">
        <v>435</v>
      </c>
      <c r="B209" s="202" t="s">
        <v>73</v>
      </c>
      <c r="C209" s="202" t="s">
        <v>27</v>
      </c>
      <c r="D209" s="285">
        <v>208</v>
      </c>
      <c r="E209" s="202">
        <v>206</v>
      </c>
      <c r="F209" s="202" t="s">
        <v>440</v>
      </c>
      <c r="G209" s="203"/>
      <c r="H209" s="202" t="s">
        <v>441</v>
      </c>
      <c r="I209" s="202"/>
      <c r="J209" s="202"/>
      <c r="K209" s="202"/>
      <c r="L209" s="204"/>
      <c r="M209" s="202" t="s">
        <v>67</v>
      </c>
      <c r="N209" s="202"/>
      <c r="O209" s="202"/>
      <c r="P209" s="202"/>
      <c r="Q209" s="203"/>
      <c r="R209" s="205"/>
      <c r="S209" s="203"/>
      <c r="T209" s="210"/>
      <c r="U209" s="202"/>
      <c r="V209" s="202"/>
      <c r="W209" s="202"/>
      <c r="X209" s="202"/>
      <c r="Y209" s="202" t="s">
        <v>33</v>
      </c>
      <c r="Z209" s="202"/>
      <c r="AB209" s="201"/>
      <c r="AC209" s="207"/>
      <c r="AE209" s="201"/>
    </row>
    <row r="210" spans="1:31" ht="21" customHeight="1">
      <c r="A210" s="258" t="s">
        <v>435</v>
      </c>
      <c r="B210" s="202" t="s">
        <v>73</v>
      </c>
      <c r="C210" s="202" t="s">
        <v>27</v>
      </c>
      <c r="D210" s="285">
        <v>209</v>
      </c>
      <c r="E210" s="202">
        <v>207</v>
      </c>
      <c r="F210" s="202" t="s">
        <v>442</v>
      </c>
      <c r="G210" s="203" t="s">
        <v>52</v>
      </c>
      <c r="H210" s="202" t="s">
        <v>443</v>
      </c>
      <c r="I210" s="202"/>
      <c r="J210" s="202"/>
      <c r="K210" s="202"/>
      <c r="L210" s="204"/>
      <c r="M210" s="202" t="s">
        <v>67</v>
      </c>
      <c r="N210" s="202"/>
      <c r="O210" s="202"/>
      <c r="P210" s="202"/>
      <c r="Q210" s="203"/>
      <c r="R210" s="205"/>
      <c r="S210" s="203"/>
      <c r="T210" s="210"/>
      <c r="U210" s="202"/>
      <c r="V210" s="202"/>
      <c r="W210" s="202"/>
      <c r="X210" s="202"/>
      <c r="Y210" s="202" t="s">
        <v>33</v>
      </c>
      <c r="Z210" s="202"/>
      <c r="AB210" s="201"/>
      <c r="AC210" s="207"/>
      <c r="AE210" s="201"/>
    </row>
    <row r="211" spans="1:31" ht="21" customHeight="1">
      <c r="A211" s="258" t="s">
        <v>435</v>
      </c>
      <c r="B211" s="202" t="s">
        <v>73</v>
      </c>
      <c r="C211" s="202" t="s">
        <v>27</v>
      </c>
      <c r="D211" s="285">
        <v>210</v>
      </c>
      <c r="E211" s="202">
        <v>208</v>
      </c>
      <c r="F211" s="202" t="s">
        <v>444</v>
      </c>
      <c r="G211" s="203"/>
      <c r="H211" s="202" t="s">
        <v>445</v>
      </c>
      <c r="I211" s="202" t="s">
        <v>31</v>
      </c>
      <c r="J211" s="202"/>
      <c r="K211" s="202"/>
      <c r="L211" s="204" t="s">
        <v>31</v>
      </c>
      <c r="M211" s="202"/>
      <c r="N211" s="202"/>
      <c r="O211" s="202"/>
      <c r="P211" s="202"/>
      <c r="Q211" s="203"/>
      <c r="R211" s="205"/>
      <c r="S211" s="203"/>
      <c r="T211" s="210"/>
      <c r="U211" s="202" t="s">
        <v>48</v>
      </c>
      <c r="V211" s="202"/>
      <c r="W211" s="202"/>
      <c r="X211" s="202" t="s">
        <v>49</v>
      </c>
      <c r="Y211" s="202"/>
      <c r="Z211" s="202"/>
      <c r="AB211" s="201"/>
      <c r="AC211" s="207"/>
      <c r="AE211" s="201"/>
    </row>
    <row r="212" spans="1:31" ht="21" customHeight="1">
      <c r="A212" s="258" t="s">
        <v>435</v>
      </c>
      <c r="B212" s="202" t="s">
        <v>73</v>
      </c>
      <c r="C212" s="202" t="s">
        <v>27</v>
      </c>
      <c r="D212" s="285">
        <v>211</v>
      </c>
      <c r="E212" s="202">
        <v>209</v>
      </c>
      <c r="F212" s="202" t="s">
        <v>446</v>
      </c>
      <c r="G212" s="203"/>
      <c r="H212" s="202"/>
      <c r="I212" s="202"/>
      <c r="J212" s="202"/>
      <c r="K212" s="202"/>
      <c r="L212" s="204"/>
      <c r="M212" s="202" t="s">
        <v>67</v>
      </c>
      <c r="N212" s="202"/>
      <c r="O212" s="202"/>
      <c r="P212" s="202"/>
      <c r="Q212" s="203"/>
      <c r="R212" s="205"/>
      <c r="S212" s="203"/>
      <c r="T212" s="202"/>
      <c r="U212" s="202"/>
      <c r="V212" s="202"/>
      <c r="W212" s="202"/>
      <c r="X212" s="202" t="s">
        <v>49</v>
      </c>
      <c r="Y212" s="202" t="s">
        <v>33</v>
      </c>
      <c r="Z212" s="202"/>
      <c r="AB212" s="201"/>
      <c r="AC212" s="207"/>
      <c r="AE212" s="201"/>
    </row>
    <row r="213" spans="1:31" ht="21" customHeight="1">
      <c r="A213" s="251" t="s">
        <v>447</v>
      </c>
      <c r="B213" s="202" t="s">
        <v>34</v>
      </c>
      <c r="C213" s="202" t="s">
        <v>27</v>
      </c>
      <c r="D213" s="286">
        <v>212</v>
      </c>
      <c r="E213" s="202">
        <v>210</v>
      </c>
      <c r="F213" s="202" t="s">
        <v>448</v>
      </c>
      <c r="G213" s="203"/>
      <c r="H213" s="202" t="s">
        <v>449</v>
      </c>
      <c r="I213" s="202"/>
      <c r="J213" s="202"/>
      <c r="K213" s="202" t="s">
        <v>450</v>
      </c>
      <c r="L213" s="204" t="s">
        <v>31</v>
      </c>
      <c r="M213" s="202"/>
      <c r="N213" s="202"/>
      <c r="O213" s="202"/>
      <c r="P213" s="202"/>
      <c r="Q213" s="203"/>
      <c r="R213" s="205"/>
      <c r="S213" s="203"/>
      <c r="T213" s="210"/>
      <c r="U213" s="202"/>
      <c r="V213" s="202"/>
      <c r="W213" s="202" t="s">
        <v>54</v>
      </c>
      <c r="X213" s="202" t="s">
        <v>49</v>
      </c>
      <c r="Y213" s="202"/>
      <c r="Z213" s="202"/>
      <c r="AB213" s="201"/>
      <c r="AC213" s="207"/>
      <c r="AE213" s="201"/>
    </row>
    <row r="214" spans="1:31" ht="21" customHeight="1">
      <c r="A214" s="251" t="s">
        <v>447</v>
      </c>
      <c r="B214" s="202" t="s">
        <v>73</v>
      </c>
      <c r="C214" s="202" t="s">
        <v>27</v>
      </c>
      <c r="D214" s="286">
        <v>213</v>
      </c>
      <c r="E214" s="202">
        <v>211</v>
      </c>
      <c r="F214" s="202" t="s">
        <v>451</v>
      </c>
      <c r="G214" s="203"/>
      <c r="H214" s="202"/>
      <c r="I214" s="202"/>
      <c r="J214" s="202" t="s">
        <v>31</v>
      </c>
      <c r="K214" s="202"/>
      <c r="L214" s="204"/>
      <c r="M214" s="202" t="s">
        <v>31</v>
      </c>
      <c r="N214" s="202"/>
      <c r="O214" s="202"/>
      <c r="P214" s="202"/>
      <c r="Q214" s="203"/>
      <c r="R214" s="205"/>
      <c r="S214" s="203"/>
      <c r="T214" s="210"/>
      <c r="U214" s="202"/>
      <c r="V214" s="202" t="s">
        <v>32</v>
      </c>
      <c r="W214" s="202"/>
      <c r="X214" s="202"/>
      <c r="Y214" s="202" t="s">
        <v>33</v>
      </c>
      <c r="Z214" s="202"/>
      <c r="AB214" s="201"/>
      <c r="AC214" s="207"/>
      <c r="AE214" s="201"/>
    </row>
    <row r="215" spans="1:31" ht="21" customHeight="1">
      <c r="A215" s="251" t="s">
        <v>447</v>
      </c>
      <c r="B215" s="202" t="s">
        <v>73</v>
      </c>
      <c r="C215" s="202" t="s">
        <v>27</v>
      </c>
      <c r="D215" s="286">
        <v>214</v>
      </c>
      <c r="E215" s="202">
        <v>212</v>
      </c>
      <c r="F215" s="202" t="s">
        <v>452</v>
      </c>
      <c r="G215" s="203"/>
      <c r="H215" s="202" t="s">
        <v>453</v>
      </c>
      <c r="I215" s="202" t="s">
        <v>31</v>
      </c>
      <c r="J215" s="202"/>
      <c r="K215" s="202" t="s">
        <v>31</v>
      </c>
      <c r="L215" s="204"/>
      <c r="M215" s="202" t="s">
        <v>67</v>
      </c>
      <c r="N215" s="202"/>
      <c r="O215" s="202"/>
      <c r="P215" s="202"/>
      <c r="Q215" s="203"/>
      <c r="R215" s="205"/>
      <c r="S215" s="203"/>
      <c r="T215" s="210"/>
      <c r="U215" s="202" t="s">
        <v>48</v>
      </c>
      <c r="V215" s="202"/>
      <c r="W215" s="202" t="s">
        <v>54</v>
      </c>
      <c r="X215" s="202"/>
      <c r="Y215" s="202" t="s">
        <v>33</v>
      </c>
      <c r="Z215" s="202"/>
      <c r="AB215" s="201"/>
      <c r="AC215" s="207"/>
      <c r="AE215" s="201"/>
    </row>
    <row r="216" spans="1:31" ht="21" customHeight="1">
      <c r="A216" s="251" t="s">
        <v>447</v>
      </c>
      <c r="B216" s="202" t="s">
        <v>73</v>
      </c>
      <c r="C216" s="202" t="s">
        <v>27</v>
      </c>
      <c r="D216" s="286">
        <v>215</v>
      </c>
      <c r="E216" s="202">
        <v>213</v>
      </c>
      <c r="F216" s="202" t="s">
        <v>454</v>
      </c>
      <c r="G216" s="203"/>
      <c r="H216" s="202" t="s">
        <v>455</v>
      </c>
      <c r="I216" s="202"/>
      <c r="J216" s="202"/>
      <c r="K216" s="202"/>
      <c r="L216" s="204" t="s">
        <v>31</v>
      </c>
      <c r="M216" s="202"/>
      <c r="N216" s="202"/>
      <c r="O216" s="202"/>
      <c r="P216" s="202"/>
      <c r="Q216" s="203"/>
      <c r="R216" s="205"/>
      <c r="S216" s="203"/>
      <c r="T216" s="210"/>
      <c r="U216" s="202"/>
      <c r="V216" s="202"/>
      <c r="W216" s="202"/>
      <c r="X216" s="202" t="s">
        <v>49</v>
      </c>
      <c r="Y216" s="202"/>
      <c r="Z216" s="202"/>
      <c r="AB216" s="201"/>
      <c r="AC216" s="207"/>
      <c r="AE216" s="201"/>
    </row>
    <row r="217" spans="1:31" ht="21" customHeight="1">
      <c r="A217" s="251" t="s">
        <v>447</v>
      </c>
      <c r="B217" s="202" t="s">
        <v>73</v>
      </c>
      <c r="C217" s="202" t="s">
        <v>27</v>
      </c>
      <c r="D217" s="286">
        <v>216</v>
      </c>
      <c r="E217" s="202">
        <v>214</v>
      </c>
      <c r="F217" s="202" t="s">
        <v>456</v>
      </c>
      <c r="G217" s="203"/>
      <c r="H217" s="202" t="s">
        <v>457</v>
      </c>
      <c r="I217" s="202"/>
      <c r="J217" s="202"/>
      <c r="K217" s="202"/>
      <c r="L217" s="204" t="s">
        <v>31</v>
      </c>
      <c r="M217" s="202"/>
      <c r="N217" s="202"/>
      <c r="O217" s="202"/>
      <c r="P217" s="202"/>
      <c r="Q217" s="203"/>
      <c r="R217" s="205"/>
      <c r="S217" s="203"/>
      <c r="T217" s="210"/>
      <c r="U217" s="202"/>
      <c r="V217" s="202"/>
      <c r="W217" s="202"/>
      <c r="X217" s="202" t="s">
        <v>49</v>
      </c>
      <c r="Y217" s="202"/>
      <c r="Z217" s="202"/>
      <c r="AB217" s="201"/>
      <c r="AC217" s="207"/>
      <c r="AE217" s="201"/>
    </row>
    <row r="218" spans="1:31" ht="21" customHeight="1">
      <c r="A218" s="251" t="s">
        <v>447</v>
      </c>
      <c r="B218" s="202" t="s">
        <v>79</v>
      </c>
      <c r="C218" s="202" t="s">
        <v>27</v>
      </c>
      <c r="D218" s="286">
        <v>217</v>
      </c>
      <c r="E218" s="202">
        <v>215</v>
      </c>
      <c r="F218" s="202" t="s">
        <v>458</v>
      </c>
      <c r="G218" s="203"/>
      <c r="H218" s="202"/>
      <c r="I218" s="202" t="s">
        <v>31</v>
      </c>
      <c r="J218" s="202"/>
      <c r="K218" s="202" t="s">
        <v>31</v>
      </c>
      <c r="L218" s="204"/>
      <c r="M218" s="202" t="s">
        <v>67</v>
      </c>
      <c r="N218" s="202"/>
      <c r="O218" s="202"/>
      <c r="P218" s="202"/>
      <c r="Q218" s="203"/>
      <c r="R218" s="205"/>
      <c r="S218" s="203"/>
      <c r="T218" s="210"/>
      <c r="U218" s="202"/>
      <c r="V218" s="202"/>
      <c r="W218" s="202" t="s">
        <v>54</v>
      </c>
      <c r="X218" s="202"/>
      <c r="Y218" s="202" t="s">
        <v>33</v>
      </c>
      <c r="Z218" s="202"/>
      <c r="AB218" s="201"/>
      <c r="AC218" s="207"/>
      <c r="AE218" s="201"/>
    </row>
    <row r="219" spans="1:31" ht="21" customHeight="1">
      <c r="A219" s="257" t="s">
        <v>459</v>
      </c>
      <c r="B219" s="202" t="s">
        <v>73</v>
      </c>
      <c r="C219" s="202" t="s">
        <v>27</v>
      </c>
      <c r="D219" s="287">
        <v>218</v>
      </c>
      <c r="E219" s="202">
        <v>216</v>
      </c>
      <c r="F219" s="202" t="s">
        <v>460</v>
      </c>
      <c r="G219" s="203"/>
      <c r="H219" s="202" t="s">
        <v>461</v>
      </c>
      <c r="I219" s="202"/>
      <c r="J219" s="202" t="s">
        <v>31</v>
      </c>
      <c r="K219" s="202"/>
      <c r="L219" s="204"/>
      <c r="M219" s="202" t="s">
        <v>67</v>
      </c>
      <c r="N219" s="202"/>
      <c r="O219" s="202"/>
      <c r="P219" s="202"/>
      <c r="Q219" s="203"/>
      <c r="R219" s="205"/>
      <c r="S219" s="203"/>
      <c r="T219" s="210"/>
      <c r="U219" s="202"/>
      <c r="V219" s="202" t="s">
        <v>32</v>
      </c>
      <c r="W219" s="202"/>
      <c r="X219" s="202"/>
      <c r="Y219" s="202" t="s">
        <v>33</v>
      </c>
      <c r="Z219" s="202"/>
      <c r="AB219" s="201"/>
      <c r="AC219" s="207"/>
      <c r="AE219" s="201"/>
    </row>
    <row r="220" spans="1:31" ht="21" customHeight="1">
      <c r="A220" s="257" t="s">
        <v>459</v>
      </c>
      <c r="B220" s="202" t="s">
        <v>462</v>
      </c>
      <c r="C220" s="202" t="s">
        <v>27</v>
      </c>
      <c r="D220" s="287">
        <v>219</v>
      </c>
      <c r="E220" s="202">
        <v>217</v>
      </c>
      <c r="F220" s="202" t="s">
        <v>463</v>
      </c>
      <c r="G220" s="203"/>
      <c r="H220" s="202" t="s">
        <v>464</v>
      </c>
      <c r="I220" s="202"/>
      <c r="J220" s="202"/>
      <c r="K220" s="202"/>
      <c r="L220" s="204" t="s">
        <v>31</v>
      </c>
      <c r="M220" s="202"/>
      <c r="N220" s="202"/>
      <c r="O220" s="202"/>
      <c r="P220" s="202"/>
      <c r="Q220" s="203"/>
      <c r="R220" s="205"/>
      <c r="S220" s="203"/>
      <c r="T220" s="210"/>
      <c r="U220" s="202"/>
      <c r="V220" s="202"/>
      <c r="W220" s="202"/>
      <c r="X220" s="202" t="s">
        <v>49</v>
      </c>
      <c r="Y220" s="202"/>
      <c r="Z220" s="202"/>
      <c r="AB220" s="201"/>
      <c r="AC220" s="207"/>
      <c r="AE220" s="201"/>
    </row>
    <row r="221" spans="1:31" ht="21" customHeight="1">
      <c r="A221" s="257" t="s">
        <v>459</v>
      </c>
      <c r="B221" s="202" t="s">
        <v>50</v>
      </c>
      <c r="C221" s="202" t="s">
        <v>27</v>
      </c>
      <c r="D221" s="287">
        <v>220</v>
      </c>
      <c r="E221" s="202">
        <v>218</v>
      </c>
      <c r="F221" s="202" t="s">
        <v>465</v>
      </c>
      <c r="G221" s="203"/>
      <c r="H221" s="202" t="s">
        <v>466</v>
      </c>
      <c r="I221" s="202"/>
      <c r="J221" s="202" t="s">
        <v>31</v>
      </c>
      <c r="K221" s="202"/>
      <c r="L221" s="204"/>
      <c r="M221" s="202" t="s">
        <v>67</v>
      </c>
      <c r="N221" s="202"/>
      <c r="O221" s="202"/>
      <c r="P221" s="202"/>
      <c r="Q221" s="203"/>
      <c r="R221" s="205"/>
      <c r="S221" s="203"/>
      <c r="T221" s="210"/>
      <c r="U221" s="202"/>
      <c r="V221" s="202" t="s">
        <v>32</v>
      </c>
      <c r="W221" s="202"/>
      <c r="X221" s="202"/>
      <c r="Y221" s="202" t="s">
        <v>33</v>
      </c>
      <c r="Z221" s="202"/>
      <c r="AB221" s="201"/>
      <c r="AC221" s="207"/>
      <c r="AE221" s="201"/>
    </row>
    <row r="222" spans="1:31" ht="21" customHeight="1">
      <c r="A222" s="257" t="s">
        <v>459</v>
      </c>
      <c r="B222" s="202" t="s">
        <v>73</v>
      </c>
      <c r="C222" s="202" t="s">
        <v>27</v>
      </c>
      <c r="D222" s="287">
        <v>221</v>
      </c>
      <c r="E222" s="202">
        <v>219</v>
      </c>
      <c r="F222" s="202" t="s">
        <v>467</v>
      </c>
      <c r="G222" s="203"/>
      <c r="H222" s="202" t="s">
        <v>468</v>
      </c>
      <c r="I222" s="202"/>
      <c r="J222" s="202" t="s">
        <v>31</v>
      </c>
      <c r="K222" s="202"/>
      <c r="L222" s="204"/>
      <c r="M222" s="202" t="s">
        <v>67</v>
      </c>
      <c r="N222" s="202"/>
      <c r="O222" s="202"/>
      <c r="P222" s="202" t="s">
        <v>14</v>
      </c>
      <c r="Q222" s="203"/>
      <c r="R222" s="205"/>
      <c r="S222" s="203"/>
      <c r="T222" s="210"/>
      <c r="U222" s="202"/>
      <c r="V222" s="202" t="s">
        <v>32</v>
      </c>
      <c r="W222" s="202"/>
      <c r="X222" s="202"/>
      <c r="Y222" s="202" t="s">
        <v>33</v>
      </c>
      <c r="Z222" s="202"/>
      <c r="AB222" s="201"/>
      <c r="AC222" s="207"/>
      <c r="AE222" s="201"/>
    </row>
    <row r="223" spans="1:31" ht="21" customHeight="1">
      <c r="A223" s="257" t="s">
        <v>459</v>
      </c>
      <c r="B223" s="202" t="s">
        <v>462</v>
      </c>
      <c r="C223" s="202" t="s">
        <v>27</v>
      </c>
      <c r="D223" s="287">
        <v>222</v>
      </c>
      <c r="E223" s="202">
        <v>220</v>
      </c>
      <c r="F223" s="202" t="s">
        <v>469</v>
      </c>
      <c r="G223" s="203"/>
      <c r="H223" s="202" t="s">
        <v>470</v>
      </c>
      <c r="I223" s="202"/>
      <c r="J223" s="202" t="s">
        <v>31</v>
      </c>
      <c r="K223" s="202"/>
      <c r="L223" s="204"/>
      <c r="M223" s="202" t="s">
        <v>67</v>
      </c>
      <c r="N223" s="202"/>
      <c r="O223" s="202"/>
      <c r="P223" s="202"/>
      <c r="Q223" s="203"/>
      <c r="R223" s="205"/>
      <c r="S223" s="203"/>
      <c r="T223" s="210"/>
      <c r="U223" s="202"/>
      <c r="V223" s="202" t="s">
        <v>32</v>
      </c>
      <c r="W223" s="202"/>
      <c r="X223" s="202"/>
      <c r="Y223" s="202" t="s">
        <v>33</v>
      </c>
      <c r="Z223" s="202"/>
      <c r="AB223" s="201"/>
      <c r="AC223" s="207"/>
      <c r="AE223" s="201"/>
    </row>
    <row r="224" spans="1:31" ht="21" customHeight="1">
      <c r="A224" s="257" t="s">
        <v>459</v>
      </c>
      <c r="B224" s="202" t="s">
        <v>98</v>
      </c>
      <c r="C224" s="202" t="s">
        <v>27</v>
      </c>
      <c r="D224" s="287">
        <v>223</v>
      </c>
      <c r="E224" s="202">
        <v>221</v>
      </c>
      <c r="F224" s="202" t="s">
        <v>471</v>
      </c>
      <c r="G224" s="203"/>
      <c r="H224" s="202" t="s">
        <v>472</v>
      </c>
      <c r="I224" s="202"/>
      <c r="J224" s="202" t="s">
        <v>31</v>
      </c>
      <c r="K224" s="202"/>
      <c r="L224" s="204"/>
      <c r="M224" s="202" t="s">
        <v>67</v>
      </c>
      <c r="N224" s="202"/>
      <c r="O224" s="202"/>
      <c r="P224" s="202"/>
      <c r="Q224" s="203"/>
      <c r="R224" s="205"/>
      <c r="S224" s="203"/>
      <c r="T224" s="210"/>
      <c r="U224" s="202"/>
      <c r="V224" s="202" t="s">
        <v>32</v>
      </c>
      <c r="W224" s="202"/>
      <c r="X224" s="202"/>
      <c r="Y224" s="202" t="s">
        <v>33</v>
      </c>
      <c r="Z224" s="202"/>
      <c r="AB224" s="201"/>
      <c r="AC224" s="207"/>
      <c r="AE224" s="201"/>
    </row>
    <row r="225" spans="1:37" ht="21" customHeight="1">
      <c r="A225" s="257" t="s">
        <v>459</v>
      </c>
      <c r="B225" s="202" t="s">
        <v>50</v>
      </c>
      <c r="C225" s="202" t="s">
        <v>27</v>
      </c>
      <c r="D225" s="287">
        <v>224</v>
      </c>
      <c r="E225" s="202">
        <v>222</v>
      </c>
      <c r="F225" s="202" t="s">
        <v>473</v>
      </c>
      <c r="G225" s="203"/>
      <c r="H225" s="202" t="s">
        <v>474</v>
      </c>
      <c r="I225" s="202" t="s">
        <v>31</v>
      </c>
      <c r="J225" s="202"/>
      <c r="K225" s="202"/>
      <c r="L225" s="204"/>
      <c r="M225" s="202" t="s">
        <v>67</v>
      </c>
      <c r="N225" s="202"/>
      <c r="O225" s="202"/>
      <c r="P225" s="202" t="s">
        <v>14</v>
      </c>
      <c r="Q225" s="203"/>
      <c r="R225" s="205" t="s">
        <v>475</v>
      </c>
      <c r="S225" s="203"/>
      <c r="T225" s="210" t="s">
        <v>476</v>
      </c>
      <c r="U225" s="202" t="s">
        <v>48</v>
      </c>
      <c r="V225" s="202"/>
      <c r="W225" s="202"/>
      <c r="X225" s="202"/>
      <c r="Y225" s="202" t="s">
        <v>33</v>
      </c>
      <c r="Z225" s="202"/>
      <c r="AB225" s="201"/>
      <c r="AC225" s="207"/>
      <c r="AE225" s="201"/>
    </row>
    <row r="226" spans="1:37" ht="21" customHeight="1">
      <c r="A226" s="257" t="s">
        <v>459</v>
      </c>
      <c r="B226" s="202" t="s">
        <v>50</v>
      </c>
      <c r="C226" s="202" t="s">
        <v>27</v>
      </c>
      <c r="D226" s="287">
        <v>225</v>
      </c>
      <c r="E226" s="202">
        <v>223</v>
      </c>
      <c r="F226" s="202" t="s">
        <v>477</v>
      </c>
      <c r="G226" s="203"/>
      <c r="H226" s="202" t="s">
        <v>478</v>
      </c>
      <c r="I226" s="202" t="s">
        <v>31</v>
      </c>
      <c r="J226" s="202" t="s">
        <v>31</v>
      </c>
      <c r="K226" s="202"/>
      <c r="L226" s="204" t="s">
        <v>31</v>
      </c>
      <c r="M226" s="202" t="s">
        <v>67</v>
      </c>
      <c r="N226" s="202" t="s">
        <v>347</v>
      </c>
      <c r="O226" s="202"/>
      <c r="P226" s="202" t="s">
        <v>14</v>
      </c>
      <c r="Q226" s="203"/>
      <c r="R226" s="205"/>
      <c r="S226" s="203"/>
      <c r="T226" s="210"/>
      <c r="U226" s="202" t="s">
        <v>48</v>
      </c>
      <c r="V226" s="202" t="s">
        <v>32</v>
      </c>
      <c r="W226" s="202"/>
      <c r="X226" s="202" t="s">
        <v>49</v>
      </c>
      <c r="Y226" s="202" t="s">
        <v>33</v>
      </c>
      <c r="Z226" s="202" t="s">
        <v>55</v>
      </c>
      <c r="AB226" s="201"/>
      <c r="AC226" s="207"/>
      <c r="AE226" s="201"/>
    </row>
    <row r="227" spans="1:37" ht="21" customHeight="1">
      <c r="A227" s="257" t="s">
        <v>459</v>
      </c>
      <c r="B227" s="202" t="s">
        <v>73</v>
      </c>
      <c r="C227" s="202" t="s">
        <v>27</v>
      </c>
      <c r="D227" s="287">
        <v>226</v>
      </c>
      <c r="E227" s="202">
        <v>224</v>
      </c>
      <c r="F227" s="202" t="s">
        <v>479</v>
      </c>
      <c r="G227" s="203"/>
      <c r="H227" s="202"/>
      <c r="I227" s="202"/>
      <c r="J227" s="202"/>
      <c r="K227" s="202"/>
      <c r="L227" s="204"/>
      <c r="M227" s="202" t="s">
        <v>67</v>
      </c>
      <c r="N227" s="202"/>
      <c r="O227" s="202"/>
      <c r="P227" s="202" t="s">
        <v>14</v>
      </c>
      <c r="Q227" s="203"/>
      <c r="R227" s="205" t="s">
        <v>480</v>
      </c>
      <c r="S227" s="203"/>
      <c r="T227" s="210"/>
      <c r="U227" s="202"/>
      <c r="V227" s="202"/>
      <c r="W227" s="202"/>
      <c r="X227" s="202"/>
      <c r="Y227" s="202" t="s">
        <v>33</v>
      </c>
      <c r="Z227" s="202"/>
      <c r="AB227" s="201"/>
      <c r="AC227" s="207"/>
      <c r="AE227" s="201"/>
    </row>
    <row r="228" spans="1:37" ht="21" customHeight="1">
      <c r="A228" s="249" t="s">
        <v>481</v>
      </c>
      <c r="B228" s="202" t="s">
        <v>79</v>
      </c>
      <c r="C228" s="202" t="s">
        <v>27</v>
      </c>
      <c r="D228" s="288">
        <v>227</v>
      </c>
      <c r="E228" s="202">
        <v>225</v>
      </c>
      <c r="F228" s="202" t="s">
        <v>482</v>
      </c>
      <c r="G228" s="203"/>
      <c r="H228" s="202" t="s">
        <v>483</v>
      </c>
      <c r="I228" s="202"/>
      <c r="J228" s="202" t="s">
        <v>31</v>
      </c>
      <c r="K228" s="202"/>
      <c r="L228" s="204"/>
      <c r="M228" s="202" t="s">
        <v>67</v>
      </c>
      <c r="N228" s="202"/>
      <c r="O228" s="202"/>
      <c r="P228" s="202"/>
      <c r="Q228" s="203"/>
      <c r="R228" s="205"/>
      <c r="S228" s="203"/>
      <c r="T228" s="210"/>
      <c r="U228" s="202"/>
      <c r="V228" s="202" t="s">
        <v>32</v>
      </c>
      <c r="W228" s="202"/>
      <c r="X228" s="202"/>
      <c r="Y228" s="202" t="s">
        <v>33</v>
      </c>
      <c r="Z228" s="202"/>
      <c r="AB228" s="201"/>
      <c r="AC228" s="208" t="s">
        <v>37</v>
      </c>
      <c r="AD228" s="209" t="s">
        <v>242</v>
      </c>
      <c r="AE228" s="209" t="s">
        <v>243</v>
      </c>
      <c r="AF228" s="209" t="s">
        <v>244</v>
      </c>
      <c r="AG228" s="209" t="s">
        <v>245</v>
      </c>
      <c r="AH228" s="209" t="s">
        <v>246</v>
      </c>
      <c r="AI228" s="209" t="s">
        <v>247</v>
      </c>
      <c r="AJ228" s="209" t="s">
        <v>248</v>
      </c>
      <c r="AK228" s="209" t="s">
        <v>249</v>
      </c>
    </row>
    <row r="229" spans="1:37" ht="21" customHeight="1">
      <c r="A229" s="249" t="s">
        <v>481</v>
      </c>
      <c r="B229" s="202" t="s">
        <v>73</v>
      </c>
      <c r="C229" s="202" t="s">
        <v>27</v>
      </c>
      <c r="D229" s="288">
        <v>228</v>
      </c>
      <c r="E229" s="202">
        <v>226</v>
      </c>
      <c r="F229" s="202" t="s">
        <v>484</v>
      </c>
      <c r="G229" s="203"/>
      <c r="H229" s="202" t="s">
        <v>184</v>
      </c>
      <c r="I229" s="202"/>
      <c r="J229" s="202" t="s">
        <v>31</v>
      </c>
      <c r="K229" s="202"/>
      <c r="L229" s="204"/>
      <c r="M229" s="202" t="s">
        <v>67</v>
      </c>
      <c r="N229" s="202"/>
      <c r="O229" s="202"/>
      <c r="P229" s="202"/>
      <c r="Q229" s="203"/>
      <c r="R229" s="205" t="s">
        <v>485</v>
      </c>
      <c r="S229" s="203"/>
      <c r="T229" s="202"/>
      <c r="U229" s="202"/>
      <c r="V229" s="202" t="s">
        <v>32</v>
      </c>
      <c r="W229" s="202"/>
      <c r="X229" s="202"/>
      <c r="Y229" s="202" t="s">
        <v>33</v>
      </c>
      <c r="Z229" s="202"/>
      <c r="AB229" s="201"/>
      <c r="AC229" s="208" t="s">
        <v>489</v>
      </c>
      <c r="AD229" s="209" t="s">
        <v>38</v>
      </c>
      <c r="AE229" s="209" t="s">
        <v>39</v>
      </c>
      <c r="AF229" s="209" t="s">
        <v>15</v>
      </c>
      <c r="AG229" s="209" t="s">
        <v>40</v>
      </c>
      <c r="AH229" s="209" t="s">
        <v>41</v>
      </c>
      <c r="AI229" s="209" t="s">
        <v>42</v>
      </c>
      <c r="AJ229" s="209" t="s">
        <v>43</v>
      </c>
      <c r="AK229" s="209" t="s">
        <v>44</v>
      </c>
    </row>
    <row r="230" spans="1:37" ht="21" customHeight="1">
      <c r="A230" s="249" t="s">
        <v>481</v>
      </c>
      <c r="B230" s="202" t="s">
        <v>73</v>
      </c>
      <c r="C230" s="202" t="s">
        <v>27</v>
      </c>
      <c r="D230" s="288">
        <v>229</v>
      </c>
      <c r="E230" s="202">
        <v>227</v>
      </c>
      <c r="F230" s="202" t="s">
        <v>486</v>
      </c>
      <c r="G230" s="203"/>
      <c r="H230" s="202" t="s">
        <v>487</v>
      </c>
      <c r="I230" s="202"/>
      <c r="J230" s="202"/>
      <c r="K230" s="202"/>
      <c r="L230" s="204" t="s">
        <v>31</v>
      </c>
      <c r="M230" s="202"/>
      <c r="N230" s="202"/>
      <c r="O230" s="202"/>
      <c r="P230" s="202" t="s">
        <v>14</v>
      </c>
      <c r="Q230" s="203"/>
      <c r="R230" s="205"/>
      <c r="S230" s="203"/>
      <c r="T230" s="210"/>
      <c r="U230" s="202"/>
      <c r="V230" s="202"/>
      <c r="W230" s="202"/>
      <c r="X230" s="202" t="s">
        <v>49</v>
      </c>
      <c r="Y230" s="202"/>
      <c r="Z230" s="202"/>
      <c r="AB230" s="201"/>
      <c r="AC230" s="208" t="str">
        <f t="shared" ref="AC230:AK230" si="25">AC229</f>
        <v>#</v>
      </c>
      <c r="AD230" s="209" t="str">
        <f t="shared" si="25"/>
        <v>月曜</v>
      </c>
      <c r="AE230" s="209" t="str">
        <f t="shared" si="25"/>
        <v>火曜</v>
      </c>
      <c r="AF230" s="209" t="str">
        <f t="shared" si="25"/>
        <v>木曜段紙</v>
      </c>
      <c r="AG230" s="209" t="str">
        <f t="shared" si="25"/>
        <v>水曜金属</v>
      </c>
      <c r="AH230" s="209" t="str">
        <f t="shared" si="25"/>
        <v>水曜</v>
      </c>
      <c r="AI230" s="209" t="str">
        <f t="shared" si="25"/>
        <v>木曜</v>
      </c>
      <c r="AJ230" s="209" t="str">
        <f t="shared" si="25"/>
        <v>金曜</v>
      </c>
      <c r="AK230" s="209" t="str">
        <f t="shared" si="25"/>
        <v>土曜</v>
      </c>
    </row>
    <row r="231" spans="1:37" ht="21" customHeight="1">
      <c r="A231" s="249" t="s">
        <v>481</v>
      </c>
      <c r="B231" s="202" t="s">
        <v>149</v>
      </c>
      <c r="C231" s="202" t="s">
        <v>27</v>
      </c>
      <c r="D231" s="288">
        <v>230</v>
      </c>
      <c r="E231" s="202">
        <v>228</v>
      </c>
      <c r="F231" s="202" t="s">
        <v>488</v>
      </c>
      <c r="G231" s="203"/>
      <c r="H231" s="202"/>
      <c r="I231" s="202" t="s">
        <v>31</v>
      </c>
      <c r="J231" s="202"/>
      <c r="K231" s="202" t="s">
        <v>30</v>
      </c>
      <c r="L231" s="204"/>
      <c r="M231" s="202" t="s">
        <v>31</v>
      </c>
      <c r="N231" s="202"/>
      <c r="O231" s="202"/>
      <c r="P231" s="202"/>
      <c r="Q231" s="203" t="s">
        <v>36</v>
      </c>
      <c r="R231" s="205"/>
      <c r="S231" s="203"/>
      <c r="T231" s="210"/>
      <c r="U231" s="202" t="s">
        <v>48</v>
      </c>
      <c r="V231" s="202"/>
      <c r="W231" s="202" t="s">
        <v>54</v>
      </c>
      <c r="X231" s="202"/>
      <c r="Y231" s="202" t="s">
        <v>33</v>
      </c>
      <c r="Z231" s="202"/>
      <c r="AB231" s="201"/>
      <c r="AC231" s="208" t="str">
        <f t="shared" ref="AC231:AK231" si="26">AC4</f>
        <v>段紙</v>
      </c>
      <c r="AD231" s="209">
        <f t="shared" si="26"/>
        <v>2</v>
      </c>
      <c r="AE231" s="209">
        <f t="shared" si="26"/>
        <v>0</v>
      </c>
      <c r="AF231" s="209">
        <f t="shared" si="26"/>
        <v>2</v>
      </c>
      <c r="AG231" s="209">
        <f t="shared" si="26"/>
        <v>2</v>
      </c>
      <c r="AH231" s="209">
        <f t="shared" si="26"/>
        <v>0</v>
      </c>
      <c r="AI231" s="209">
        <f t="shared" si="26"/>
        <v>2</v>
      </c>
      <c r="AJ231" s="209">
        <f t="shared" si="26"/>
        <v>0</v>
      </c>
      <c r="AK231" s="209">
        <f t="shared" si="26"/>
        <v>0</v>
      </c>
    </row>
    <row r="232" spans="1:37" ht="21" customHeight="1">
      <c r="A232" s="249" t="s">
        <v>481</v>
      </c>
      <c r="B232" s="202" t="s">
        <v>75</v>
      </c>
      <c r="C232" s="202" t="s">
        <v>27</v>
      </c>
      <c r="D232" s="288">
        <v>231</v>
      </c>
      <c r="E232" s="202">
        <v>229</v>
      </c>
      <c r="F232" s="202" t="s">
        <v>490</v>
      </c>
      <c r="G232" s="203"/>
      <c r="H232" s="202"/>
      <c r="I232" s="202" t="s">
        <v>31</v>
      </c>
      <c r="J232" s="202"/>
      <c r="K232" s="202"/>
      <c r="L232" s="204" t="s">
        <v>31</v>
      </c>
      <c r="M232" s="202"/>
      <c r="N232" s="202"/>
      <c r="O232" s="202"/>
      <c r="P232" s="202" t="s">
        <v>14</v>
      </c>
      <c r="Q232" s="203"/>
      <c r="R232" s="205"/>
      <c r="S232" s="203"/>
      <c r="T232" s="210"/>
      <c r="U232" s="202" t="s">
        <v>48</v>
      </c>
      <c r="V232" s="202"/>
      <c r="W232" s="202"/>
      <c r="X232" s="202" t="s">
        <v>49</v>
      </c>
      <c r="Y232" s="202"/>
      <c r="Z232" s="202"/>
      <c r="AB232" s="201"/>
      <c r="AC232" s="208" t="str">
        <f t="shared" ref="AC232:AK232" si="27">AC7</f>
        <v>金属</v>
      </c>
      <c r="AD232" s="209">
        <f t="shared" si="27"/>
        <v>0</v>
      </c>
      <c r="AE232" s="209">
        <f t="shared" si="27"/>
        <v>0</v>
      </c>
      <c r="AF232" s="209">
        <f t="shared" si="27"/>
        <v>0</v>
      </c>
      <c r="AG232" s="209">
        <f t="shared" si="27"/>
        <v>0</v>
      </c>
      <c r="AH232" s="209">
        <f t="shared" si="27"/>
        <v>0</v>
      </c>
      <c r="AI232" s="209">
        <f t="shared" si="27"/>
        <v>0</v>
      </c>
      <c r="AJ232" s="209">
        <f t="shared" si="27"/>
        <v>0</v>
      </c>
      <c r="AK232" s="209">
        <f t="shared" si="27"/>
        <v>67</v>
      </c>
    </row>
    <row r="233" spans="1:37" ht="21" customHeight="1">
      <c r="A233" s="249" t="s">
        <v>481</v>
      </c>
      <c r="B233" s="202" t="s">
        <v>75</v>
      </c>
      <c r="C233" s="202" t="s">
        <v>27</v>
      </c>
      <c r="D233" s="288">
        <v>232</v>
      </c>
      <c r="E233" s="202">
        <v>230</v>
      </c>
      <c r="F233" s="202" t="s">
        <v>491</v>
      </c>
      <c r="G233" s="203"/>
      <c r="H233" s="202" t="s">
        <v>492</v>
      </c>
      <c r="I233" s="202" t="s">
        <v>31</v>
      </c>
      <c r="J233" s="202"/>
      <c r="K233" s="202"/>
      <c r="L233" s="204" t="s">
        <v>31</v>
      </c>
      <c r="M233" s="202"/>
      <c r="N233" s="202"/>
      <c r="O233" s="202"/>
      <c r="P233" s="202" t="s">
        <v>14</v>
      </c>
      <c r="Q233" s="203"/>
      <c r="R233" s="205"/>
      <c r="S233" s="203"/>
      <c r="T233" s="210"/>
      <c r="U233" s="202" t="s">
        <v>48</v>
      </c>
      <c r="V233" s="202"/>
      <c r="W233" s="202"/>
      <c r="X233" s="202" t="s">
        <v>49</v>
      </c>
      <c r="Y233" s="202"/>
      <c r="Z233" s="202"/>
      <c r="AB233" s="201"/>
      <c r="AC233" s="208" t="str">
        <f t="shared" ref="AC233:AK233" si="28">AC8</f>
        <v>〇</v>
      </c>
      <c r="AD233" s="209">
        <f t="shared" si="28"/>
        <v>0</v>
      </c>
      <c r="AE233" s="209">
        <f t="shared" si="28"/>
        <v>0</v>
      </c>
      <c r="AF233" s="209">
        <f t="shared" si="28"/>
        <v>0</v>
      </c>
      <c r="AG233" s="209">
        <f t="shared" si="28"/>
        <v>0</v>
      </c>
      <c r="AH233" s="209">
        <f t="shared" si="28"/>
        <v>0</v>
      </c>
      <c r="AI233" s="209">
        <f t="shared" si="28"/>
        <v>21</v>
      </c>
      <c r="AJ233" s="209">
        <f t="shared" si="28"/>
        <v>0</v>
      </c>
      <c r="AK233" s="209">
        <f t="shared" si="28"/>
        <v>0</v>
      </c>
    </row>
    <row r="234" spans="1:37" ht="21" customHeight="1">
      <c r="A234" s="249" t="s">
        <v>481</v>
      </c>
      <c r="B234" s="202" t="s">
        <v>75</v>
      </c>
      <c r="C234" s="202" t="s">
        <v>27</v>
      </c>
      <c r="D234" s="288">
        <v>233</v>
      </c>
      <c r="E234" s="202">
        <v>231</v>
      </c>
      <c r="F234" s="202" t="s">
        <v>493</v>
      </c>
      <c r="G234" s="203"/>
      <c r="H234" s="202"/>
      <c r="I234" s="202" t="s">
        <v>31</v>
      </c>
      <c r="J234" s="202"/>
      <c r="K234" s="202"/>
      <c r="L234" s="204" t="s">
        <v>31</v>
      </c>
      <c r="M234" s="202"/>
      <c r="N234" s="202"/>
      <c r="O234" s="202"/>
      <c r="P234" s="202" t="s">
        <v>14</v>
      </c>
      <c r="Q234" s="203"/>
      <c r="R234" s="205"/>
      <c r="S234" s="203"/>
      <c r="T234" s="202"/>
      <c r="U234" s="202" t="s">
        <v>48</v>
      </c>
      <c r="V234" s="202"/>
      <c r="W234" s="202"/>
      <c r="X234" s="202" t="s">
        <v>49</v>
      </c>
      <c r="Y234" s="202"/>
      <c r="Z234" s="202"/>
      <c r="AB234" s="201"/>
      <c r="AC234" s="208" t="str">
        <f t="shared" ref="AC234:AK234" si="29">AC9</f>
        <v>N-（西山）</v>
      </c>
      <c r="AD234" s="209">
        <f t="shared" si="29"/>
        <v>60</v>
      </c>
      <c r="AE234" s="209">
        <f t="shared" si="29"/>
        <v>49</v>
      </c>
      <c r="AF234" s="209">
        <f t="shared" si="29"/>
        <v>47</v>
      </c>
      <c r="AG234" s="209">
        <f t="shared" si="29"/>
        <v>61</v>
      </c>
      <c r="AH234" s="209">
        <f t="shared" si="29"/>
        <v>61</v>
      </c>
      <c r="AI234" s="209">
        <f t="shared" si="29"/>
        <v>0</v>
      </c>
      <c r="AJ234" s="209">
        <f t="shared" si="29"/>
        <v>0</v>
      </c>
      <c r="AK234" s="209">
        <f t="shared" si="29"/>
        <v>0</v>
      </c>
    </row>
    <row r="235" spans="1:37" ht="21" customHeight="1">
      <c r="A235" s="249" t="s">
        <v>481</v>
      </c>
      <c r="B235" s="202" t="s">
        <v>75</v>
      </c>
      <c r="C235" s="202" t="s">
        <v>27</v>
      </c>
      <c r="D235" s="288">
        <v>234</v>
      </c>
      <c r="E235" s="202">
        <v>232</v>
      </c>
      <c r="F235" s="202" t="s">
        <v>494</v>
      </c>
      <c r="G235" s="203"/>
      <c r="H235" s="202"/>
      <c r="I235" s="202" t="s">
        <v>31</v>
      </c>
      <c r="J235" s="202"/>
      <c r="K235" s="202"/>
      <c r="L235" s="204" t="s">
        <v>31</v>
      </c>
      <c r="M235" s="202"/>
      <c r="N235" s="202"/>
      <c r="O235" s="202"/>
      <c r="P235" s="202"/>
      <c r="Q235" s="203"/>
      <c r="R235" s="205"/>
      <c r="S235" s="203"/>
      <c r="T235" s="202"/>
      <c r="U235" s="202" t="s">
        <v>48</v>
      </c>
      <c r="V235" s="202"/>
      <c r="W235" s="202"/>
      <c r="X235" s="202" t="s">
        <v>49</v>
      </c>
      <c r="Y235" s="202"/>
      <c r="Z235" s="202"/>
      <c r="AB235" s="201"/>
      <c r="AC235" s="208" t="str">
        <f t="shared" ref="AC235:AK235" si="30">AC10</f>
        <v>K-</v>
      </c>
      <c r="AD235" s="209">
        <f t="shared" si="30"/>
        <v>54</v>
      </c>
      <c r="AE235" s="209">
        <f t="shared" si="30"/>
        <v>60</v>
      </c>
      <c r="AF235" s="209">
        <f t="shared" si="30"/>
        <v>94</v>
      </c>
      <c r="AG235" s="209">
        <f t="shared" si="30"/>
        <v>37</v>
      </c>
      <c r="AH235" s="209">
        <f t="shared" si="30"/>
        <v>42</v>
      </c>
      <c r="AI235" s="209">
        <f t="shared" si="30"/>
        <v>0</v>
      </c>
      <c r="AJ235" s="209">
        <f t="shared" si="30"/>
        <v>0</v>
      </c>
      <c r="AK235" s="209">
        <f t="shared" si="30"/>
        <v>0</v>
      </c>
    </row>
    <row r="236" spans="1:37" ht="21" customHeight="1">
      <c r="A236" s="249" t="s">
        <v>481</v>
      </c>
      <c r="B236" s="202" t="s">
        <v>73</v>
      </c>
      <c r="C236" s="202" t="s">
        <v>27</v>
      </c>
      <c r="D236" s="288">
        <v>235</v>
      </c>
      <c r="E236" s="202">
        <v>233</v>
      </c>
      <c r="F236" s="202" t="s">
        <v>495</v>
      </c>
      <c r="G236" s="203"/>
      <c r="H236" s="202" t="s">
        <v>496</v>
      </c>
      <c r="I236" s="202"/>
      <c r="J236" s="202"/>
      <c r="K236" s="202"/>
      <c r="L236" s="204" t="s">
        <v>31</v>
      </c>
      <c r="M236" s="202"/>
      <c r="N236" s="202"/>
      <c r="O236" s="202"/>
      <c r="P236" s="202" t="s">
        <v>14</v>
      </c>
      <c r="Q236" s="203"/>
      <c r="R236" s="205"/>
      <c r="S236" s="203"/>
      <c r="T236" s="210" t="s">
        <v>130</v>
      </c>
      <c r="U236" s="202"/>
      <c r="V236" s="202"/>
      <c r="W236" s="202"/>
      <c r="X236" s="202" t="s">
        <v>49</v>
      </c>
      <c r="Y236" s="202"/>
      <c r="Z236" s="202"/>
      <c r="AB236" s="201"/>
      <c r="AC236" s="208" t="str">
        <f t="shared" ref="AC236:AK236" si="31">AC11</f>
        <v>M-</v>
      </c>
      <c r="AD236" s="209">
        <f t="shared" si="31"/>
        <v>0</v>
      </c>
      <c r="AE236" s="209">
        <f t="shared" si="31"/>
        <v>0</v>
      </c>
      <c r="AF236" s="209">
        <f t="shared" si="31"/>
        <v>33</v>
      </c>
      <c r="AG236" s="209">
        <f t="shared" si="31"/>
        <v>0</v>
      </c>
      <c r="AH236" s="209">
        <f t="shared" si="31"/>
        <v>0</v>
      </c>
      <c r="AI236" s="209">
        <f t="shared" si="31"/>
        <v>0</v>
      </c>
      <c r="AJ236" s="209">
        <f t="shared" si="31"/>
        <v>0</v>
      </c>
      <c r="AK236" s="209">
        <f t="shared" si="31"/>
        <v>0</v>
      </c>
    </row>
    <row r="237" spans="1:37" ht="21" customHeight="1">
      <c r="A237" s="249" t="s">
        <v>481</v>
      </c>
      <c r="B237" s="202" t="s">
        <v>98</v>
      </c>
      <c r="C237" s="202" t="s">
        <v>27</v>
      </c>
      <c r="D237" s="288">
        <v>236</v>
      </c>
      <c r="E237" s="202">
        <v>234</v>
      </c>
      <c r="F237" s="202" t="s">
        <v>497</v>
      </c>
      <c r="G237" s="203"/>
      <c r="H237" s="202" t="s">
        <v>498</v>
      </c>
      <c r="I237" s="202"/>
      <c r="J237" s="202"/>
      <c r="K237" s="202"/>
      <c r="L237" s="204" t="s">
        <v>31</v>
      </c>
      <c r="M237" s="202"/>
      <c r="N237" s="202"/>
      <c r="O237" s="202"/>
      <c r="P237" s="202" t="s">
        <v>14</v>
      </c>
      <c r="Q237" s="203"/>
      <c r="R237" s="205"/>
      <c r="S237" s="203"/>
      <c r="T237" s="202" t="s">
        <v>130</v>
      </c>
      <c r="U237" s="202"/>
      <c r="V237" s="202"/>
      <c r="W237" s="202"/>
      <c r="X237" s="202" t="s">
        <v>49</v>
      </c>
      <c r="Y237" s="202"/>
      <c r="Z237" s="202"/>
      <c r="AB237" s="201"/>
      <c r="AC237" s="208" t="str">
        <f t="shared" ref="AC237:AK237" si="32">AC12</f>
        <v>計</v>
      </c>
      <c r="AD237" s="209">
        <f t="shared" si="32"/>
        <v>116</v>
      </c>
      <c r="AE237" s="209">
        <f t="shared" si="32"/>
        <v>109</v>
      </c>
      <c r="AF237" s="209">
        <f t="shared" si="32"/>
        <v>176</v>
      </c>
      <c r="AG237" s="209">
        <f t="shared" si="32"/>
        <v>100</v>
      </c>
      <c r="AH237" s="209">
        <f t="shared" si="32"/>
        <v>103</v>
      </c>
      <c r="AI237" s="209">
        <f t="shared" si="32"/>
        <v>23</v>
      </c>
      <c r="AJ237" s="209">
        <f t="shared" si="32"/>
        <v>0</v>
      </c>
      <c r="AK237" s="209">
        <f t="shared" si="32"/>
        <v>67</v>
      </c>
    </row>
    <row r="238" spans="1:37" ht="21" customHeight="1">
      <c r="A238" s="252" t="s">
        <v>499</v>
      </c>
      <c r="B238" s="202" t="s">
        <v>98</v>
      </c>
      <c r="C238" s="202" t="s">
        <v>27</v>
      </c>
      <c r="D238" s="289">
        <v>237</v>
      </c>
      <c r="E238" s="202">
        <v>235</v>
      </c>
      <c r="F238" s="202" t="s">
        <v>500</v>
      </c>
      <c r="G238" s="203"/>
      <c r="H238" s="202" t="s">
        <v>501</v>
      </c>
      <c r="I238" s="203" t="s">
        <v>30</v>
      </c>
      <c r="J238" s="202"/>
      <c r="K238" s="202"/>
      <c r="L238" s="204"/>
      <c r="M238" s="202"/>
      <c r="N238" s="202"/>
      <c r="O238" s="202"/>
      <c r="P238" s="202"/>
      <c r="Q238" s="203"/>
      <c r="R238" s="205"/>
      <c r="S238" s="203"/>
      <c r="T238" s="210"/>
      <c r="U238" s="202"/>
      <c r="V238" s="202"/>
      <c r="W238" s="202" t="s">
        <v>54</v>
      </c>
      <c r="X238" s="202"/>
      <c r="Y238" s="202"/>
      <c r="Z238" s="202"/>
      <c r="AB238" s="201"/>
      <c r="AC238" s="207"/>
      <c r="AE238" s="201"/>
    </row>
    <row r="239" spans="1:37" ht="21" customHeight="1">
      <c r="A239" s="252" t="s">
        <v>499</v>
      </c>
      <c r="B239" s="202" t="s">
        <v>50</v>
      </c>
      <c r="C239" s="202" t="s">
        <v>27</v>
      </c>
      <c r="D239" s="289">
        <v>238</v>
      </c>
      <c r="E239" s="202">
        <v>236</v>
      </c>
      <c r="F239" s="202" t="s">
        <v>502</v>
      </c>
      <c r="G239" s="203"/>
      <c r="H239" s="202" t="s">
        <v>503</v>
      </c>
      <c r="I239" s="202" t="s">
        <v>30</v>
      </c>
      <c r="J239" s="202"/>
      <c r="K239" s="202" t="s">
        <v>31</v>
      </c>
      <c r="L239" s="204"/>
      <c r="M239" s="202" t="s">
        <v>31</v>
      </c>
      <c r="N239" s="202"/>
      <c r="O239" s="202"/>
      <c r="P239" s="202"/>
      <c r="Q239" s="203"/>
      <c r="R239" s="205"/>
      <c r="S239" s="203"/>
      <c r="T239" s="210"/>
      <c r="U239" s="202" t="s">
        <v>48</v>
      </c>
      <c r="V239" s="202"/>
      <c r="W239" s="202" t="s">
        <v>54</v>
      </c>
      <c r="X239" s="202"/>
      <c r="Y239" s="202" t="s">
        <v>33</v>
      </c>
      <c r="Z239" s="202"/>
      <c r="AB239" s="201"/>
      <c r="AC239" s="207"/>
      <c r="AE239" s="201"/>
    </row>
    <row r="240" spans="1:37" ht="21" customHeight="1">
      <c r="A240" s="262" t="s">
        <v>504</v>
      </c>
      <c r="B240" s="202" t="s">
        <v>73</v>
      </c>
      <c r="C240" s="202" t="s">
        <v>27</v>
      </c>
      <c r="D240" s="290">
        <v>239</v>
      </c>
      <c r="E240" s="202">
        <v>237</v>
      </c>
      <c r="F240" s="202" t="s">
        <v>505</v>
      </c>
      <c r="G240" s="203"/>
      <c r="H240" s="202"/>
      <c r="I240" s="202"/>
      <c r="J240" s="202" t="s">
        <v>31</v>
      </c>
      <c r="K240" s="202"/>
      <c r="L240" s="204"/>
      <c r="M240" s="202"/>
      <c r="N240" s="202"/>
      <c r="O240" s="202"/>
      <c r="P240" s="202"/>
      <c r="Q240" s="203"/>
      <c r="R240" s="205"/>
      <c r="S240" s="203"/>
      <c r="T240" s="210"/>
      <c r="U240" s="202"/>
      <c r="V240" s="202" t="s">
        <v>32</v>
      </c>
      <c r="W240" s="202"/>
      <c r="X240" s="202"/>
      <c r="Y240" s="202"/>
      <c r="Z240" s="202"/>
      <c r="AB240" s="201"/>
      <c r="AC240" s="207"/>
      <c r="AE240" s="201"/>
    </row>
    <row r="241" spans="1:31" ht="21" customHeight="1">
      <c r="A241" s="262" t="s">
        <v>504</v>
      </c>
      <c r="B241" s="202" t="s">
        <v>73</v>
      </c>
      <c r="C241" s="202" t="s">
        <v>27</v>
      </c>
      <c r="D241" s="290">
        <v>240</v>
      </c>
      <c r="E241" s="202">
        <v>238</v>
      </c>
      <c r="F241" s="202" t="s">
        <v>506</v>
      </c>
      <c r="G241" s="203"/>
      <c r="H241" s="202" t="s">
        <v>507</v>
      </c>
      <c r="I241" s="202"/>
      <c r="J241" s="202" t="s">
        <v>31</v>
      </c>
      <c r="K241" s="202"/>
      <c r="L241" s="204"/>
      <c r="M241" s="202"/>
      <c r="N241" s="202"/>
      <c r="O241" s="202"/>
      <c r="P241" s="202"/>
      <c r="Q241" s="203"/>
      <c r="R241" s="205"/>
      <c r="S241" s="203"/>
      <c r="T241" s="202"/>
      <c r="U241" s="202"/>
      <c r="V241" s="202" t="s">
        <v>32</v>
      </c>
      <c r="W241" s="202"/>
      <c r="X241" s="202"/>
      <c r="Y241" s="202"/>
      <c r="Z241" s="202"/>
      <c r="AB241" s="201"/>
      <c r="AC241" s="207"/>
      <c r="AE241" s="201"/>
    </row>
    <row r="242" spans="1:31" ht="21" customHeight="1">
      <c r="A242" s="262" t="s">
        <v>504</v>
      </c>
      <c r="B242" s="202" t="s">
        <v>75</v>
      </c>
      <c r="C242" s="202" t="s">
        <v>27</v>
      </c>
      <c r="D242" s="290">
        <v>241</v>
      </c>
      <c r="E242" s="202">
        <v>239</v>
      </c>
      <c r="F242" s="202" t="s">
        <v>508</v>
      </c>
      <c r="G242" s="203"/>
      <c r="H242" s="202"/>
      <c r="I242" s="202"/>
      <c r="J242" s="202" t="s">
        <v>31</v>
      </c>
      <c r="K242" s="202"/>
      <c r="L242" s="204"/>
      <c r="M242" s="202"/>
      <c r="N242" s="202"/>
      <c r="O242" s="202"/>
      <c r="P242" s="202"/>
      <c r="Q242" s="203"/>
      <c r="R242" s="205"/>
      <c r="S242" s="203"/>
      <c r="T242" s="210"/>
      <c r="U242" s="202"/>
      <c r="V242" s="202" t="s">
        <v>32</v>
      </c>
      <c r="W242" s="202"/>
      <c r="X242" s="202"/>
      <c r="Y242" s="202"/>
      <c r="Z242" s="202"/>
      <c r="AB242" s="201"/>
      <c r="AC242" s="207"/>
      <c r="AE242" s="201"/>
    </row>
    <row r="243" spans="1:31" ht="21" customHeight="1">
      <c r="A243" s="262" t="s">
        <v>504</v>
      </c>
      <c r="B243" s="202" t="s">
        <v>102</v>
      </c>
      <c r="C243" s="202" t="s">
        <v>27</v>
      </c>
      <c r="D243" s="290">
        <v>242</v>
      </c>
      <c r="E243" s="202">
        <v>240</v>
      </c>
      <c r="F243" s="202" t="s">
        <v>509</v>
      </c>
      <c r="G243" s="203" t="s">
        <v>104</v>
      </c>
      <c r="H243" s="202" t="s">
        <v>510</v>
      </c>
      <c r="I243" s="202" t="s">
        <v>30</v>
      </c>
      <c r="J243" s="202" t="s">
        <v>31</v>
      </c>
      <c r="K243" s="202" t="s">
        <v>31</v>
      </c>
      <c r="L243" s="204" t="s">
        <v>30</v>
      </c>
      <c r="M243" s="202" t="s">
        <v>31</v>
      </c>
      <c r="N243" s="202" t="s">
        <v>347</v>
      </c>
      <c r="O243" s="202"/>
      <c r="P243" s="202"/>
      <c r="Q243" s="203"/>
      <c r="R243" s="205" t="s">
        <v>511</v>
      </c>
      <c r="S243" s="203"/>
      <c r="T243" s="202"/>
      <c r="U243" s="202" t="s">
        <v>48</v>
      </c>
      <c r="V243" s="202" t="s">
        <v>32</v>
      </c>
      <c r="W243" s="202" t="s">
        <v>54</v>
      </c>
      <c r="X243" s="202" t="s">
        <v>49</v>
      </c>
      <c r="Y243" s="202" t="s">
        <v>33</v>
      </c>
      <c r="Z243" s="202" t="s">
        <v>55</v>
      </c>
      <c r="AB243" s="201"/>
      <c r="AC243" s="207"/>
      <c r="AE243" s="201"/>
    </row>
    <row r="244" spans="1:31" ht="21" customHeight="1">
      <c r="A244" s="262" t="s">
        <v>504</v>
      </c>
      <c r="B244" s="202" t="s">
        <v>95</v>
      </c>
      <c r="C244" s="202" t="s">
        <v>27</v>
      </c>
      <c r="D244" s="290">
        <v>243</v>
      </c>
      <c r="E244" s="202">
        <v>241</v>
      </c>
      <c r="F244" s="202" t="s">
        <v>512</v>
      </c>
      <c r="G244" s="203"/>
      <c r="H244" s="202"/>
      <c r="I244" s="202"/>
      <c r="J244" s="202" t="s">
        <v>31</v>
      </c>
      <c r="K244" s="202"/>
      <c r="L244" s="204"/>
      <c r="M244" s="202" t="s">
        <v>31</v>
      </c>
      <c r="N244" s="202"/>
      <c r="O244" s="202"/>
      <c r="P244" s="202"/>
      <c r="Q244" s="203"/>
      <c r="R244" s="205"/>
      <c r="S244" s="203"/>
      <c r="T244" s="202"/>
      <c r="U244" s="202"/>
      <c r="V244" s="202" t="s">
        <v>32</v>
      </c>
      <c r="W244" s="202"/>
      <c r="X244" s="202"/>
      <c r="Y244" s="202" t="s">
        <v>33</v>
      </c>
      <c r="Z244" s="202"/>
      <c r="AB244" s="201"/>
      <c r="AC244" s="207"/>
      <c r="AE244" s="201"/>
    </row>
    <row r="245" spans="1:31" ht="21" customHeight="1">
      <c r="A245" s="262" t="s">
        <v>504</v>
      </c>
      <c r="B245" s="202" t="s">
        <v>102</v>
      </c>
      <c r="C245" s="202" t="s">
        <v>27</v>
      </c>
      <c r="D245" s="290">
        <v>244</v>
      </c>
      <c r="E245" s="202">
        <v>242</v>
      </c>
      <c r="F245" s="202" t="s">
        <v>513</v>
      </c>
      <c r="G245" s="203" t="s">
        <v>104</v>
      </c>
      <c r="H245" s="202" t="s">
        <v>514</v>
      </c>
      <c r="I245" s="202" t="s">
        <v>30</v>
      </c>
      <c r="J245" s="202" t="s">
        <v>31</v>
      </c>
      <c r="K245" s="202" t="s">
        <v>31</v>
      </c>
      <c r="L245" s="204" t="s">
        <v>30</v>
      </c>
      <c r="M245" s="202" t="s">
        <v>31</v>
      </c>
      <c r="N245" s="202" t="s">
        <v>347</v>
      </c>
      <c r="O245" s="202"/>
      <c r="P245" s="202"/>
      <c r="Q245" s="203"/>
      <c r="R245" s="205" t="s">
        <v>515</v>
      </c>
      <c r="S245" s="203"/>
      <c r="T245" s="210"/>
      <c r="U245" s="202" t="s">
        <v>48</v>
      </c>
      <c r="V245" s="202" t="s">
        <v>32</v>
      </c>
      <c r="W245" s="202" t="s">
        <v>54</v>
      </c>
      <c r="X245" s="202" t="s">
        <v>49</v>
      </c>
      <c r="Y245" s="202" t="s">
        <v>33</v>
      </c>
      <c r="Z245" s="202" t="s">
        <v>55</v>
      </c>
      <c r="AB245" s="201"/>
      <c r="AC245" s="207"/>
      <c r="AE245" s="201"/>
    </row>
    <row r="246" spans="1:31" ht="21" customHeight="1">
      <c r="A246" s="262" t="s">
        <v>504</v>
      </c>
      <c r="B246" s="202" t="s">
        <v>102</v>
      </c>
      <c r="C246" s="202" t="s">
        <v>27</v>
      </c>
      <c r="D246" s="290">
        <v>245</v>
      </c>
      <c r="E246" s="202">
        <v>243</v>
      </c>
      <c r="F246" s="202" t="s">
        <v>516</v>
      </c>
      <c r="G246" s="203" t="s">
        <v>104</v>
      </c>
      <c r="H246" s="202"/>
      <c r="I246" s="202" t="s">
        <v>30</v>
      </c>
      <c r="J246" s="202" t="s">
        <v>31</v>
      </c>
      <c r="K246" s="202" t="s">
        <v>31</v>
      </c>
      <c r="L246" s="204" t="s">
        <v>30</v>
      </c>
      <c r="M246" s="202" t="s">
        <v>31</v>
      </c>
      <c r="N246" s="202" t="s">
        <v>347</v>
      </c>
      <c r="O246" s="202"/>
      <c r="P246" s="202"/>
      <c r="Q246" s="203"/>
      <c r="R246" s="205" t="s">
        <v>517</v>
      </c>
      <c r="S246" s="203"/>
      <c r="T246" s="210"/>
      <c r="U246" s="202" t="s">
        <v>48</v>
      </c>
      <c r="V246" s="202" t="s">
        <v>32</v>
      </c>
      <c r="W246" s="202" t="s">
        <v>54</v>
      </c>
      <c r="X246" s="202" t="s">
        <v>49</v>
      </c>
      <c r="Y246" s="202" t="s">
        <v>33</v>
      </c>
      <c r="Z246" s="202" t="s">
        <v>55</v>
      </c>
      <c r="AB246" s="201"/>
      <c r="AC246" s="207"/>
      <c r="AE246" s="201"/>
    </row>
    <row r="247" spans="1:31" ht="21" customHeight="1">
      <c r="A247" s="262" t="s">
        <v>504</v>
      </c>
      <c r="B247" s="202" t="s">
        <v>75</v>
      </c>
      <c r="C247" s="202" t="s">
        <v>27</v>
      </c>
      <c r="D247" s="290">
        <v>246</v>
      </c>
      <c r="E247" s="202">
        <v>244</v>
      </c>
      <c r="F247" s="202" t="s">
        <v>518</v>
      </c>
      <c r="G247" s="203"/>
      <c r="H247" s="202"/>
      <c r="I247" s="202"/>
      <c r="J247" s="202"/>
      <c r="K247" s="202" t="s">
        <v>31</v>
      </c>
      <c r="L247" s="204"/>
      <c r="M247" s="202"/>
      <c r="N247" s="202"/>
      <c r="O247" s="202"/>
      <c r="P247" s="202"/>
      <c r="Q247" s="203"/>
      <c r="R247" s="205"/>
      <c r="S247" s="203"/>
      <c r="T247" s="210"/>
      <c r="U247" s="202"/>
      <c r="V247" s="202"/>
      <c r="W247" s="202" t="s">
        <v>54</v>
      </c>
      <c r="X247" s="202"/>
      <c r="Y247" s="202"/>
      <c r="Z247" s="202"/>
      <c r="AB247" s="201"/>
      <c r="AC247" s="207"/>
      <c r="AE247" s="201"/>
    </row>
    <row r="248" spans="1:31" ht="21" customHeight="1">
      <c r="A248" s="262" t="s">
        <v>504</v>
      </c>
      <c r="B248" s="202" t="s">
        <v>75</v>
      </c>
      <c r="C248" s="202" t="s">
        <v>27</v>
      </c>
      <c r="D248" s="290">
        <v>247</v>
      </c>
      <c r="E248" s="202">
        <v>245</v>
      </c>
      <c r="F248" s="202" t="s">
        <v>519</v>
      </c>
      <c r="G248" s="203"/>
      <c r="H248" s="202" t="s">
        <v>520</v>
      </c>
      <c r="I248" s="202"/>
      <c r="J248" s="202"/>
      <c r="K248" s="202" t="s">
        <v>31</v>
      </c>
      <c r="L248" s="204"/>
      <c r="M248" s="202"/>
      <c r="N248" s="202"/>
      <c r="O248" s="202"/>
      <c r="P248" s="202" t="s">
        <v>14</v>
      </c>
      <c r="Q248" s="203"/>
      <c r="R248" s="205"/>
      <c r="S248" s="203"/>
      <c r="T248" s="202"/>
      <c r="U248" s="202"/>
      <c r="V248" s="202"/>
      <c r="W248" s="202" t="s">
        <v>54</v>
      </c>
      <c r="X248" s="202"/>
      <c r="Y248" s="202"/>
      <c r="Z248" s="202"/>
      <c r="AB248" s="201"/>
      <c r="AC248" s="207"/>
      <c r="AE248" s="201"/>
    </row>
    <row r="249" spans="1:31" ht="21" customHeight="1">
      <c r="A249" s="262" t="s">
        <v>504</v>
      </c>
      <c r="B249" s="202" t="s">
        <v>75</v>
      </c>
      <c r="C249" s="202" t="s">
        <v>27</v>
      </c>
      <c r="D249" s="290">
        <v>248</v>
      </c>
      <c r="E249" s="202">
        <v>246</v>
      </c>
      <c r="F249" s="202" t="s">
        <v>521</v>
      </c>
      <c r="G249" s="203"/>
      <c r="H249" s="202" t="s">
        <v>520</v>
      </c>
      <c r="I249" s="202"/>
      <c r="J249" s="202"/>
      <c r="K249" s="202" t="s">
        <v>31</v>
      </c>
      <c r="L249" s="204"/>
      <c r="M249" s="202"/>
      <c r="N249" s="202"/>
      <c r="O249" s="202"/>
      <c r="P249" s="202" t="s">
        <v>14</v>
      </c>
      <c r="Q249" s="203"/>
      <c r="R249" s="205"/>
      <c r="S249" s="203"/>
      <c r="T249" s="210"/>
      <c r="U249" s="202"/>
      <c r="V249" s="202"/>
      <c r="W249" s="202" t="s">
        <v>54</v>
      </c>
      <c r="X249" s="202"/>
      <c r="Y249" s="202"/>
      <c r="Z249" s="202"/>
      <c r="AB249" s="201"/>
      <c r="AC249" s="207"/>
      <c r="AE249" s="201"/>
    </row>
    <row r="250" spans="1:31" ht="21" customHeight="1">
      <c r="A250" s="262" t="s">
        <v>504</v>
      </c>
      <c r="B250" s="202" t="s">
        <v>75</v>
      </c>
      <c r="C250" s="202" t="s">
        <v>27</v>
      </c>
      <c r="D250" s="290">
        <v>249</v>
      </c>
      <c r="E250" s="202">
        <v>247</v>
      </c>
      <c r="F250" s="202" t="s">
        <v>522</v>
      </c>
      <c r="G250" s="203"/>
      <c r="H250" s="202" t="s">
        <v>328</v>
      </c>
      <c r="I250" s="202"/>
      <c r="J250" s="202" t="s">
        <v>31</v>
      </c>
      <c r="K250" s="202"/>
      <c r="L250" s="204"/>
      <c r="M250" s="202" t="s">
        <v>31</v>
      </c>
      <c r="N250" s="202"/>
      <c r="O250" s="202"/>
      <c r="P250" s="202" t="s">
        <v>14</v>
      </c>
      <c r="Q250" s="203"/>
      <c r="R250" s="205"/>
      <c r="S250" s="203"/>
      <c r="T250" s="210"/>
      <c r="U250" s="202"/>
      <c r="V250" s="202" t="s">
        <v>32</v>
      </c>
      <c r="W250" s="202"/>
      <c r="X250" s="202"/>
      <c r="Y250" s="202" t="s">
        <v>33</v>
      </c>
      <c r="Z250" s="202"/>
      <c r="AB250" s="201"/>
      <c r="AC250" s="207"/>
      <c r="AE250" s="201"/>
    </row>
    <row r="251" spans="1:31" ht="21" customHeight="1">
      <c r="A251" s="262" t="s">
        <v>504</v>
      </c>
      <c r="B251" s="202" t="s">
        <v>75</v>
      </c>
      <c r="C251" s="202" t="s">
        <v>27</v>
      </c>
      <c r="D251" s="290">
        <v>250</v>
      </c>
      <c r="E251" s="202">
        <v>248</v>
      </c>
      <c r="F251" s="202" t="s">
        <v>523</v>
      </c>
      <c r="G251" s="203"/>
      <c r="H251" s="202"/>
      <c r="I251" s="202"/>
      <c r="J251" s="202"/>
      <c r="K251" s="202"/>
      <c r="L251" s="204" t="s">
        <v>30</v>
      </c>
      <c r="M251" s="202"/>
      <c r="N251" s="202"/>
      <c r="O251" s="202"/>
      <c r="P251" s="202"/>
      <c r="Q251" s="203"/>
      <c r="R251" s="205"/>
      <c r="S251" s="203"/>
      <c r="T251" s="202"/>
      <c r="U251" s="202"/>
      <c r="V251" s="202"/>
      <c r="W251" s="202"/>
      <c r="X251" s="202" t="s">
        <v>49</v>
      </c>
      <c r="Y251" s="202"/>
      <c r="Z251" s="202"/>
      <c r="AB251" s="201"/>
      <c r="AC251" s="207"/>
      <c r="AE251" s="201"/>
    </row>
    <row r="252" spans="1:31" ht="21" customHeight="1">
      <c r="A252" s="262" t="s">
        <v>504</v>
      </c>
      <c r="B252" s="202" t="s">
        <v>73</v>
      </c>
      <c r="C252" s="202" t="s">
        <v>27</v>
      </c>
      <c r="D252" s="290">
        <v>251</v>
      </c>
      <c r="E252" s="202">
        <v>249</v>
      </c>
      <c r="F252" s="202" t="s">
        <v>524</v>
      </c>
      <c r="G252" s="203"/>
      <c r="H252" s="202"/>
      <c r="I252" s="202"/>
      <c r="J252" s="202"/>
      <c r="K252" s="202"/>
      <c r="L252" s="204"/>
      <c r="M252" s="202" t="s">
        <v>31</v>
      </c>
      <c r="N252" s="202"/>
      <c r="O252" s="202"/>
      <c r="P252" s="202"/>
      <c r="Q252" s="203"/>
      <c r="R252" s="205"/>
      <c r="S252" s="203"/>
      <c r="T252" s="210"/>
      <c r="U252" s="202"/>
      <c r="V252" s="202"/>
      <c r="W252" s="202"/>
      <c r="X252" s="202"/>
      <c r="Y252" s="202" t="s">
        <v>33</v>
      </c>
      <c r="Z252" s="202"/>
      <c r="AB252" s="201"/>
      <c r="AC252" s="207"/>
      <c r="AE252" s="201"/>
    </row>
    <row r="253" spans="1:31" ht="21" customHeight="1">
      <c r="A253" s="262" t="s">
        <v>504</v>
      </c>
      <c r="B253" s="202" t="s">
        <v>73</v>
      </c>
      <c r="C253" s="202" t="s">
        <v>27</v>
      </c>
      <c r="D253" s="290">
        <v>252</v>
      </c>
      <c r="E253" s="202">
        <v>250</v>
      </c>
      <c r="F253" s="202" t="s">
        <v>525</v>
      </c>
      <c r="G253" s="203"/>
      <c r="H253" s="202" t="s">
        <v>526</v>
      </c>
      <c r="I253" s="202"/>
      <c r="J253" s="202"/>
      <c r="K253" s="202"/>
      <c r="L253" s="204"/>
      <c r="M253" s="202" t="s">
        <v>31</v>
      </c>
      <c r="N253" s="202"/>
      <c r="O253" s="202"/>
      <c r="P253" s="202"/>
      <c r="Q253" s="203"/>
      <c r="R253" s="205"/>
      <c r="S253" s="203"/>
      <c r="T253" s="202"/>
      <c r="U253" s="202"/>
      <c r="V253" s="202"/>
      <c r="W253" s="202"/>
      <c r="X253" s="202"/>
      <c r="Y253" s="202" t="s">
        <v>33</v>
      </c>
      <c r="Z253" s="202"/>
      <c r="AB253" s="201"/>
      <c r="AC253" s="207"/>
      <c r="AE253" s="201"/>
    </row>
    <row r="254" spans="1:31" ht="21" customHeight="1">
      <c r="A254" s="262" t="s">
        <v>504</v>
      </c>
      <c r="B254" s="202" t="s">
        <v>50</v>
      </c>
      <c r="C254" s="202" t="s">
        <v>27</v>
      </c>
      <c r="D254" s="290">
        <v>253</v>
      </c>
      <c r="E254" s="202">
        <v>251</v>
      </c>
      <c r="F254" s="202" t="s">
        <v>527</v>
      </c>
      <c r="G254" s="203"/>
      <c r="H254" s="202"/>
      <c r="I254" s="202"/>
      <c r="J254" s="202"/>
      <c r="K254" s="202" t="s">
        <v>31</v>
      </c>
      <c r="L254" s="204"/>
      <c r="M254" s="202"/>
      <c r="N254" s="202"/>
      <c r="O254" s="202"/>
      <c r="P254" s="202"/>
      <c r="Q254" s="203"/>
      <c r="R254" s="205"/>
      <c r="S254" s="203"/>
      <c r="T254" s="210"/>
      <c r="U254" s="202"/>
      <c r="V254" s="202"/>
      <c r="W254" s="202" t="s">
        <v>54</v>
      </c>
      <c r="X254" s="202"/>
      <c r="Y254" s="202"/>
      <c r="Z254" s="202"/>
      <c r="AB254" s="201"/>
      <c r="AC254" s="207"/>
      <c r="AE254" s="201"/>
    </row>
    <row r="255" spans="1:31" ht="21" customHeight="1">
      <c r="A255" s="262" t="s">
        <v>504</v>
      </c>
      <c r="B255" s="202" t="s">
        <v>131</v>
      </c>
      <c r="C255" s="202" t="s">
        <v>27</v>
      </c>
      <c r="D255" s="290">
        <v>254</v>
      </c>
      <c r="E255" s="202">
        <v>252</v>
      </c>
      <c r="F255" s="202" t="s">
        <v>528</v>
      </c>
      <c r="G255" s="203"/>
      <c r="H255" s="202" t="s">
        <v>529</v>
      </c>
      <c r="I255" s="202"/>
      <c r="J255" s="202" t="s">
        <v>31</v>
      </c>
      <c r="K255" s="202"/>
      <c r="L255" s="204"/>
      <c r="M255" s="202" t="s">
        <v>31</v>
      </c>
      <c r="N255" s="202"/>
      <c r="O255" s="202"/>
      <c r="P255" s="202"/>
      <c r="Q255" s="203"/>
      <c r="R255" s="205"/>
      <c r="S255" s="203"/>
      <c r="T255" s="202"/>
      <c r="U255" s="202"/>
      <c r="V255" s="202" t="s">
        <v>32</v>
      </c>
      <c r="W255" s="202"/>
      <c r="X255" s="202"/>
      <c r="Y255" s="202" t="s">
        <v>33</v>
      </c>
      <c r="Z255" s="202"/>
      <c r="AB255" s="201"/>
      <c r="AC255" s="207"/>
      <c r="AE255" s="201"/>
    </row>
    <row r="256" spans="1:31" ht="21" customHeight="1">
      <c r="A256" s="262" t="s">
        <v>504</v>
      </c>
      <c r="B256" s="202" t="s">
        <v>75</v>
      </c>
      <c r="C256" s="202" t="s">
        <v>27</v>
      </c>
      <c r="D256" s="290">
        <v>255</v>
      </c>
      <c r="E256" s="202">
        <v>253</v>
      </c>
      <c r="F256" s="202" t="s">
        <v>530</v>
      </c>
      <c r="G256" s="203"/>
      <c r="H256" s="202"/>
      <c r="I256" s="202"/>
      <c r="J256" s="202"/>
      <c r="K256" s="202" t="s">
        <v>31</v>
      </c>
      <c r="L256" s="204"/>
      <c r="M256" s="202"/>
      <c r="N256" s="202"/>
      <c r="O256" s="202"/>
      <c r="P256" s="202"/>
      <c r="Q256" s="203"/>
      <c r="R256" s="205"/>
      <c r="S256" s="203"/>
      <c r="T256" s="202"/>
      <c r="U256" s="202"/>
      <c r="V256" s="202"/>
      <c r="W256" s="202" t="s">
        <v>54</v>
      </c>
      <c r="X256" s="202"/>
      <c r="Y256" s="202"/>
      <c r="Z256" s="202"/>
      <c r="AB256" s="201"/>
      <c r="AC256" s="207"/>
      <c r="AE256" s="201"/>
    </row>
    <row r="257" spans="1:31" ht="21" customHeight="1">
      <c r="A257" s="262" t="s">
        <v>504</v>
      </c>
      <c r="B257" s="202" t="s">
        <v>75</v>
      </c>
      <c r="C257" s="202" t="s">
        <v>27</v>
      </c>
      <c r="D257" s="290">
        <v>256</v>
      </c>
      <c r="E257" s="202">
        <v>254</v>
      </c>
      <c r="F257" s="202" t="s">
        <v>531</v>
      </c>
      <c r="G257" s="203"/>
      <c r="H257" s="202"/>
      <c r="I257" s="202"/>
      <c r="J257" s="202"/>
      <c r="K257" s="202" t="s">
        <v>31</v>
      </c>
      <c r="L257" s="204"/>
      <c r="M257" s="202"/>
      <c r="N257" s="202"/>
      <c r="O257" s="202"/>
      <c r="P257" s="202"/>
      <c r="Q257" s="203"/>
      <c r="R257" s="205"/>
      <c r="S257" s="203"/>
      <c r="T257" s="202" t="s">
        <v>532</v>
      </c>
      <c r="U257" s="202"/>
      <c r="V257" s="202"/>
      <c r="W257" s="202" t="s">
        <v>54</v>
      </c>
      <c r="X257" s="202"/>
      <c r="Y257" s="202"/>
      <c r="Z257" s="202"/>
      <c r="AB257" s="201"/>
      <c r="AC257" s="207"/>
      <c r="AE257" s="201"/>
    </row>
    <row r="258" spans="1:31" ht="21" customHeight="1">
      <c r="A258" s="262" t="s">
        <v>504</v>
      </c>
      <c r="B258" s="202" t="s">
        <v>75</v>
      </c>
      <c r="C258" s="202" t="s">
        <v>27</v>
      </c>
      <c r="D258" s="290">
        <v>257</v>
      </c>
      <c r="E258" s="202">
        <v>255</v>
      </c>
      <c r="F258" s="202" t="s">
        <v>533</v>
      </c>
      <c r="G258" s="203"/>
      <c r="H258" s="202"/>
      <c r="I258" s="202"/>
      <c r="J258" s="202"/>
      <c r="K258" s="202" t="s">
        <v>31</v>
      </c>
      <c r="L258" s="204"/>
      <c r="M258" s="202"/>
      <c r="N258" s="202"/>
      <c r="O258" s="202"/>
      <c r="P258" s="202" t="s">
        <v>14</v>
      </c>
      <c r="Q258" s="203"/>
      <c r="R258" s="205"/>
      <c r="S258" s="203"/>
      <c r="T258" s="210" t="s">
        <v>532</v>
      </c>
      <c r="U258" s="202"/>
      <c r="V258" s="202"/>
      <c r="W258" s="202" t="s">
        <v>54</v>
      </c>
      <c r="X258" s="202"/>
      <c r="Y258" s="202"/>
      <c r="Z258" s="202"/>
      <c r="AB258" s="201"/>
      <c r="AC258" s="207"/>
      <c r="AE258" s="201"/>
    </row>
    <row r="259" spans="1:31" ht="21" customHeight="1">
      <c r="A259" s="262" t="s">
        <v>504</v>
      </c>
      <c r="B259" s="202" t="s">
        <v>122</v>
      </c>
      <c r="C259" s="202" t="s">
        <v>27</v>
      </c>
      <c r="D259" s="290">
        <v>258</v>
      </c>
      <c r="E259" s="202">
        <v>256</v>
      </c>
      <c r="F259" s="202" t="s">
        <v>534</v>
      </c>
      <c r="G259" s="203"/>
      <c r="H259" s="202" t="s">
        <v>535</v>
      </c>
      <c r="I259" s="202"/>
      <c r="J259" s="202"/>
      <c r="K259" s="202"/>
      <c r="L259" s="204"/>
      <c r="M259" s="202" t="s">
        <v>31</v>
      </c>
      <c r="N259" s="202"/>
      <c r="O259" s="202"/>
      <c r="P259" s="202"/>
      <c r="Q259" s="203"/>
      <c r="R259" s="205"/>
      <c r="S259" s="203"/>
      <c r="T259" s="210"/>
      <c r="U259" s="202"/>
      <c r="V259" s="202"/>
      <c r="W259" s="202"/>
      <c r="X259" s="202"/>
      <c r="Y259" s="202" t="s">
        <v>33</v>
      </c>
      <c r="Z259" s="202"/>
      <c r="AB259" s="201"/>
      <c r="AC259" s="207"/>
      <c r="AE259" s="201"/>
    </row>
    <row r="260" spans="1:31" ht="21" customHeight="1">
      <c r="A260" s="262" t="s">
        <v>504</v>
      </c>
      <c r="B260" s="202" t="s">
        <v>75</v>
      </c>
      <c r="C260" s="202" t="s">
        <v>27</v>
      </c>
      <c r="D260" s="290">
        <v>259</v>
      </c>
      <c r="E260" s="202">
        <v>257</v>
      </c>
      <c r="F260" s="202" t="s">
        <v>536</v>
      </c>
      <c r="G260" s="203"/>
      <c r="H260" s="202"/>
      <c r="I260" s="202" t="s">
        <v>30</v>
      </c>
      <c r="J260" s="202"/>
      <c r="K260" s="202" t="s">
        <v>31</v>
      </c>
      <c r="L260" s="204" t="s">
        <v>30</v>
      </c>
      <c r="M260" s="202"/>
      <c r="N260" s="202"/>
      <c r="O260" s="202"/>
      <c r="P260" s="202"/>
      <c r="Q260" s="203"/>
      <c r="R260" s="205" t="s">
        <v>537</v>
      </c>
      <c r="S260" s="203"/>
      <c r="T260" s="202"/>
      <c r="U260" s="202"/>
      <c r="V260" s="202"/>
      <c r="W260" s="202" t="s">
        <v>54</v>
      </c>
      <c r="X260" s="202" t="s">
        <v>49</v>
      </c>
      <c r="Y260" s="202"/>
      <c r="Z260" s="202"/>
      <c r="AB260" s="201"/>
      <c r="AC260" s="207"/>
      <c r="AE260" s="201"/>
    </row>
    <row r="261" spans="1:31" ht="21" customHeight="1">
      <c r="A261" s="262" t="s">
        <v>504</v>
      </c>
      <c r="B261" s="202" t="s">
        <v>75</v>
      </c>
      <c r="C261" s="202" t="s">
        <v>27</v>
      </c>
      <c r="D261" s="290">
        <v>260</v>
      </c>
      <c r="E261" s="202">
        <v>258</v>
      </c>
      <c r="F261" s="202" t="s">
        <v>538</v>
      </c>
      <c r="G261" s="203"/>
      <c r="H261" s="202"/>
      <c r="I261" s="202"/>
      <c r="J261" s="202" t="s">
        <v>31</v>
      </c>
      <c r="K261" s="202" t="s">
        <v>31</v>
      </c>
      <c r="L261" s="204"/>
      <c r="M261" s="202"/>
      <c r="N261" s="202"/>
      <c r="O261" s="202"/>
      <c r="P261" s="202"/>
      <c r="Q261" s="203"/>
      <c r="R261" s="205"/>
      <c r="S261" s="203"/>
      <c r="T261" s="210"/>
      <c r="U261" s="202"/>
      <c r="V261" s="202" t="s">
        <v>32</v>
      </c>
      <c r="W261" s="202" t="s">
        <v>54</v>
      </c>
      <c r="X261" s="202"/>
      <c r="Y261" s="202"/>
      <c r="Z261" s="202"/>
      <c r="AB261" s="201"/>
      <c r="AC261" s="207"/>
      <c r="AE261" s="201"/>
    </row>
    <row r="262" spans="1:31" ht="21" customHeight="1">
      <c r="A262" s="262" t="s">
        <v>504</v>
      </c>
      <c r="B262" s="202" t="s">
        <v>73</v>
      </c>
      <c r="C262" s="202" t="s">
        <v>27</v>
      </c>
      <c r="D262" s="290">
        <v>261</v>
      </c>
      <c r="E262" s="202">
        <v>259</v>
      </c>
      <c r="F262" s="202" t="s">
        <v>539</v>
      </c>
      <c r="G262" s="203"/>
      <c r="H262" s="202" t="s">
        <v>540</v>
      </c>
      <c r="I262" s="202" t="s">
        <v>30</v>
      </c>
      <c r="J262" s="202"/>
      <c r="K262" s="202" t="s">
        <v>31</v>
      </c>
      <c r="L262" s="204"/>
      <c r="M262" s="202" t="s">
        <v>31</v>
      </c>
      <c r="N262" s="202"/>
      <c r="O262" s="202"/>
      <c r="P262" s="202" t="s">
        <v>14</v>
      </c>
      <c r="Q262" s="203"/>
      <c r="R262" s="205"/>
      <c r="S262" s="203"/>
      <c r="T262" s="202"/>
      <c r="U262" s="202" t="s">
        <v>48</v>
      </c>
      <c r="V262" s="202"/>
      <c r="W262" s="202" t="s">
        <v>54</v>
      </c>
      <c r="X262" s="202"/>
      <c r="Y262" s="202" t="s">
        <v>33</v>
      </c>
      <c r="Z262" s="202"/>
      <c r="AB262" s="201"/>
      <c r="AC262" s="207"/>
      <c r="AE262" s="201"/>
    </row>
    <row r="263" spans="1:31" ht="21" customHeight="1">
      <c r="A263" s="262" t="s">
        <v>504</v>
      </c>
      <c r="B263" s="202" t="s">
        <v>73</v>
      </c>
      <c r="C263" s="202" t="s">
        <v>27</v>
      </c>
      <c r="D263" s="290">
        <v>262</v>
      </c>
      <c r="E263" s="202">
        <v>260</v>
      </c>
      <c r="F263" s="202" t="s">
        <v>541</v>
      </c>
      <c r="G263" s="203"/>
      <c r="H263" s="202"/>
      <c r="I263" s="202"/>
      <c r="J263" s="202"/>
      <c r="K263" s="202" t="s">
        <v>31</v>
      </c>
      <c r="L263" s="204"/>
      <c r="M263" s="202"/>
      <c r="N263" s="202"/>
      <c r="O263" s="202"/>
      <c r="P263" s="202"/>
      <c r="Q263" s="203"/>
      <c r="R263" s="205" t="s">
        <v>542</v>
      </c>
      <c r="S263" s="203"/>
      <c r="T263" s="202"/>
      <c r="U263" s="202"/>
      <c r="V263" s="202"/>
      <c r="W263" s="202" t="s">
        <v>54</v>
      </c>
      <c r="X263" s="202"/>
      <c r="Y263" s="202"/>
      <c r="Z263" s="202"/>
      <c r="AB263" s="201"/>
      <c r="AC263" s="207"/>
      <c r="AE263" s="201"/>
    </row>
    <row r="264" spans="1:31" ht="21" customHeight="1">
      <c r="A264" s="262" t="s">
        <v>504</v>
      </c>
      <c r="B264" s="202" t="s">
        <v>73</v>
      </c>
      <c r="C264" s="202" t="s">
        <v>27</v>
      </c>
      <c r="D264" s="290">
        <v>263</v>
      </c>
      <c r="E264" s="202">
        <v>261</v>
      </c>
      <c r="F264" s="202" t="s">
        <v>543</v>
      </c>
      <c r="G264" s="203"/>
      <c r="H264" s="202" t="s">
        <v>544</v>
      </c>
      <c r="I264" s="202" t="s">
        <v>30</v>
      </c>
      <c r="J264" s="202"/>
      <c r="K264" s="202" t="s">
        <v>31</v>
      </c>
      <c r="L264" s="204"/>
      <c r="M264" s="202" t="s">
        <v>31</v>
      </c>
      <c r="N264" s="202"/>
      <c r="O264" s="202"/>
      <c r="P264" s="202" t="s">
        <v>14</v>
      </c>
      <c r="Q264" s="203"/>
      <c r="R264" s="205"/>
      <c r="S264" s="203"/>
      <c r="T264" s="202"/>
      <c r="U264" s="202" t="s">
        <v>48</v>
      </c>
      <c r="V264" s="202"/>
      <c r="W264" s="202" t="s">
        <v>54</v>
      </c>
      <c r="X264" s="202"/>
      <c r="Y264" s="202" t="s">
        <v>33</v>
      </c>
      <c r="Z264" s="202"/>
      <c r="AB264" s="201"/>
      <c r="AC264" s="207"/>
      <c r="AE264" s="201"/>
    </row>
    <row r="265" spans="1:31" ht="21" customHeight="1">
      <c r="A265" s="262" t="s">
        <v>504</v>
      </c>
      <c r="B265" s="202" t="s">
        <v>73</v>
      </c>
      <c r="C265" s="202" t="s">
        <v>27</v>
      </c>
      <c r="D265" s="290">
        <v>264</v>
      </c>
      <c r="E265" s="202">
        <v>262</v>
      </c>
      <c r="F265" s="202" t="s">
        <v>545</v>
      </c>
      <c r="G265" s="203"/>
      <c r="H265" s="202" t="s">
        <v>546</v>
      </c>
      <c r="I265" s="202" t="s">
        <v>30</v>
      </c>
      <c r="J265" s="202"/>
      <c r="K265" s="202" t="s">
        <v>31</v>
      </c>
      <c r="L265" s="204"/>
      <c r="M265" s="202" t="s">
        <v>31</v>
      </c>
      <c r="N265" s="202"/>
      <c r="O265" s="202"/>
      <c r="P265" s="202" t="s">
        <v>14</v>
      </c>
      <c r="Q265" s="203"/>
      <c r="R265" s="205"/>
      <c r="S265" s="203"/>
      <c r="T265" s="210"/>
      <c r="U265" s="202" t="s">
        <v>48</v>
      </c>
      <c r="V265" s="202"/>
      <c r="W265" s="202" t="s">
        <v>54</v>
      </c>
      <c r="X265" s="202"/>
      <c r="Y265" s="202" t="s">
        <v>33</v>
      </c>
      <c r="Z265" s="202"/>
      <c r="AB265" s="201"/>
      <c r="AC265" s="207"/>
      <c r="AE265" s="201"/>
    </row>
    <row r="266" spans="1:31" ht="21" customHeight="1">
      <c r="A266" s="262" t="s">
        <v>504</v>
      </c>
      <c r="B266" s="202" t="s">
        <v>73</v>
      </c>
      <c r="C266" s="202" t="s">
        <v>27</v>
      </c>
      <c r="D266" s="290">
        <v>265</v>
      </c>
      <c r="E266" s="202">
        <v>263</v>
      </c>
      <c r="F266" s="202" t="s">
        <v>547</v>
      </c>
      <c r="G266" s="203"/>
      <c r="H266" s="202"/>
      <c r="I266" s="202" t="s">
        <v>30</v>
      </c>
      <c r="J266" s="202"/>
      <c r="K266" s="202" t="s">
        <v>31</v>
      </c>
      <c r="L266" s="204"/>
      <c r="M266" s="202" t="s">
        <v>31</v>
      </c>
      <c r="N266" s="202"/>
      <c r="O266" s="202"/>
      <c r="P266" s="202" t="s">
        <v>14</v>
      </c>
      <c r="Q266" s="203"/>
      <c r="R266" s="205"/>
      <c r="S266" s="203"/>
      <c r="T266" s="202"/>
      <c r="U266" s="202" t="s">
        <v>48</v>
      </c>
      <c r="V266" s="202"/>
      <c r="W266" s="202" t="s">
        <v>54</v>
      </c>
      <c r="X266" s="202"/>
      <c r="Y266" s="202" t="s">
        <v>33</v>
      </c>
      <c r="Z266" s="202"/>
      <c r="AB266" s="201"/>
      <c r="AC266" s="207"/>
      <c r="AE266" s="201"/>
    </row>
    <row r="267" spans="1:31" ht="21" customHeight="1">
      <c r="A267" s="262" t="s">
        <v>504</v>
      </c>
      <c r="B267" s="202" t="s">
        <v>79</v>
      </c>
      <c r="C267" s="202" t="s">
        <v>27</v>
      </c>
      <c r="D267" s="290">
        <v>266</v>
      </c>
      <c r="E267" s="202">
        <v>264</v>
      </c>
      <c r="F267" s="202" t="s">
        <v>548</v>
      </c>
      <c r="G267" s="203"/>
      <c r="H267" s="202"/>
      <c r="I267" s="202"/>
      <c r="J267" s="202" t="s">
        <v>31</v>
      </c>
      <c r="K267" s="202"/>
      <c r="L267" s="204"/>
      <c r="M267" s="202" t="s">
        <v>31</v>
      </c>
      <c r="N267" s="202"/>
      <c r="O267" s="202"/>
      <c r="P267" s="202"/>
      <c r="Q267" s="203"/>
      <c r="R267" s="205"/>
      <c r="S267" s="203"/>
      <c r="T267" s="202"/>
      <c r="U267" s="202"/>
      <c r="V267" s="202" t="s">
        <v>32</v>
      </c>
      <c r="W267" s="202"/>
      <c r="X267" s="202"/>
      <c r="Y267" s="202" t="s">
        <v>33</v>
      </c>
      <c r="Z267" s="202"/>
      <c r="AB267" s="201"/>
      <c r="AC267" s="207"/>
      <c r="AE267" s="201"/>
    </row>
    <row r="268" spans="1:31" ht="21" customHeight="1">
      <c r="A268" s="262" t="s">
        <v>504</v>
      </c>
      <c r="B268" s="202" t="s">
        <v>34</v>
      </c>
      <c r="C268" s="202" t="s">
        <v>27</v>
      </c>
      <c r="D268" s="290">
        <v>267</v>
      </c>
      <c r="E268" s="202">
        <v>265</v>
      </c>
      <c r="F268" s="202" t="s">
        <v>549</v>
      </c>
      <c r="G268" s="203"/>
      <c r="H268" s="202" t="s">
        <v>550</v>
      </c>
      <c r="I268" s="202"/>
      <c r="J268" s="202"/>
      <c r="K268" s="202"/>
      <c r="L268" s="204"/>
      <c r="M268" s="202" t="s">
        <v>31</v>
      </c>
      <c r="N268" s="202"/>
      <c r="O268" s="202"/>
      <c r="P268" s="202"/>
      <c r="Q268" s="203"/>
      <c r="R268" s="205" t="s">
        <v>551</v>
      </c>
      <c r="S268" s="203"/>
      <c r="T268" s="210"/>
      <c r="U268" s="202"/>
      <c r="V268" s="202"/>
      <c r="W268" s="202"/>
      <c r="X268" s="202"/>
      <c r="Y268" s="202" t="s">
        <v>33</v>
      </c>
      <c r="Z268" s="202"/>
      <c r="AB268" s="201"/>
      <c r="AC268" s="207"/>
      <c r="AE268" s="201"/>
    </row>
    <row r="269" spans="1:31" ht="21" customHeight="1">
      <c r="A269" s="262" t="s">
        <v>504</v>
      </c>
      <c r="B269" s="202" t="s">
        <v>73</v>
      </c>
      <c r="C269" s="202" t="s">
        <v>27</v>
      </c>
      <c r="D269" s="290">
        <v>268</v>
      </c>
      <c r="E269" s="202">
        <v>266</v>
      </c>
      <c r="F269" s="202" t="s">
        <v>552</v>
      </c>
      <c r="G269" s="203"/>
      <c r="H269" s="202" t="s">
        <v>553</v>
      </c>
      <c r="I269" s="202"/>
      <c r="J269" s="202"/>
      <c r="K269" s="202"/>
      <c r="L269" s="204"/>
      <c r="M269" s="202" t="s">
        <v>31</v>
      </c>
      <c r="N269" s="202"/>
      <c r="O269" s="202"/>
      <c r="P269" s="202"/>
      <c r="Q269" s="203"/>
      <c r="R269" s="205"/>
      <c r="S269" s="203"/>
      <c r="T269" s="202"/>
      <c r="U269" s="202"/>
      <c r="V269" s="202"/>
      <c r="W269" s="202"/>
      <c r="X269" s="202"/>
      <c r="Y269" s="202" t="s">
        <v>33</v>
      </c>
      <c r="Z269" s="202"/>
      <c r="AB269" s="201"/>
      <c r="AC269" s="207"/>
      <c r="AE269" s="201"/>
    </row>
    <row r="270" spans="1:31" ht="21" customHeight="1">
      <c r="A270" s="262" t="s">
        <v>504</v>
      </c>
      <c r="B270" s="202" t="s">
        <v>75</v>
      </c>
      <c r="C270" s="202" t="s">
        <v>27</v>
      </c>
      <c r="D270" s="290">
        <v>269</v>
      </c>
      <c r="E270" s="202">
        <v>267</v>
      </c>
      <c r="F270" s="202" t="s">
        <v>554</v>
      </c>
      <c r="G270" s="203"/>
      <c r="H270" s="202"/>
      <c r="I270" s="202" t="s">
        <v>30</v>
      </c>
      <c r="J270" s="202"/>
      <c r="K270" s="202"/>
      <c r="L270" s="204" t="s">
        <v>30</v>
      </c>
      <c r="M270" s="202"/>
      <c r="N270" s="202"/>
      <c r="O270" s="202"/>
      <c r="P270" s="202"/>
      <c r="Q270" s="203"/>
      <c r="R270" s="205"/>
      <c r="S270" s="203"/>
      <c r="T270" s="210"/>
      <c r="U270" s="202"/>
      <c r="V270" s="202"/>
      <c r="W270" s="202"/>
      <c r="X270" s="202" t="s">
        <v>49</v>
      </c>
      <c r="Y270" s="202"/>
      <c r="Z270" s="202"/>
      <c r="AB270" s="201"/>
      <c r="AC270" s="207"/>
      <c r="AE270" s="201"/>
    </row>
    <row r="271" spans="1:31" ht="21" customHeight="1">
      <c r="A271" s="262" t="s">
        <v>504</v>
      </c>
      <c r="B271" s="202" t="s">
        <v>50</v>
      </c>
      <c r="C271" s="202" t="s">
        <v>27</v>
      </c>
      <c r="D271" s="290">
        <v>270</v>
      </c>
      <c r="E271" s="202">
        <v>268</v>
      </c>
      <c r="F271" s="202" t="s">
        <v>555</v>
      </c>
      <c r="G271" s="203"/>
      <c r="H271" s="202" t="s">
        <v>556</v>
      </c>
      <c r="I271" s="202" t="s">
        <v>30</v>
      </c>
      <c r="J271" s="202" t="s">
        <v>31</v>
      </c>
      <c r="K271" s="202" t="s">
        <v>31</v>
      </c>
      <c r="L271" s="204" t="s">
        <v>30</v>
      </c>
      <c r="M271" s="202" t="s">
        <v>31</v>
      </c>
      <c r="N271" s="202" t="s">
        <v>347</v>
      </c>
      <c r="O271" s="202"/>
      <c r="P271" s="202" t="s">
        <v>14</v>
      </c>
      <c r="Q271" s="203"/>
      <c r="R271" s="205"/>
      <c r="S271" s="203"/>
      <c r="T271" s="202"/>
      <c r="U271" s="202" t="s">
        <v>48</v>
      </c>
      <c r="V271" s="202" t="s">
        <v>32</v>
      </c>
      <c r="W271" s="202" t="s">
        <v>54</v>
      </c>
      <c r="X271" s="202" t="s">
        <v>49</v>
      </c>
      <c r="Y271" s="202" t="s">
        <v>33</v>
      </c>
      <c r="Z271" s="202" t="s">
        <v>55</v>
      </c>
      <c r="AB271" s="201"/>
      <c r="AC271" s="207"/>
      <c r="AE271" s="201"/>
    </row>
    <row r="272" spans="1:31" ht="21" customHeight="1">
      <c r="A272" s="262" t="s">
        <v>504</v>
      </c>
      <c r="B272" s="202" t="s">
        <v>79</v>
      </c>
      <c r="C272" s="202" t="s">
        <v>27</v>
      </c>
      <c r="D272" s="290">
        <v>271</v>
      </c>
      <c r="E272" s="202">
        <v>269</v>
      </c>
      <c r="F272" s="202" t="s">
        <v>557</v>
      </c>
      <c r="G272" s="203"/>
      <c r="H272" s="202" t="s">
        <v>558</v>
      </c>
      <c r="I272" s="202"/>
      <c r="J272" s="202"/>
      <c r="K272" s="202" t="s">
        <v>31</v>
      </c>
      <c r="L272" s="204"/>
      <c r="M272" s="202"/>
      <c r="N272" s="202"/>
      <c r="O272" s="202"/>
      <c r="P272" s="202"/>
      <c r="Q272" s="203"/>
      <c r="R272" s="205" t="s">
        <v>559</v>
      </c>
      <c r="S272" s="203"/>
      <c r="T272" s="210" t="s">
        <v>560</v>
      </c>
      <c r="U272" s="202"/>
      <c r="V272" s="202"/>
      <c r="W272" s="202" t="s">
        <v>54</v>
      </c>
      <c r="X272" s="202"/>
      <c r="Y272" s="202"/>
      <c r="Z272" s="202"/>
      <c r="AB272" s="201"/>
      <c r="AC272" s="207"/>
      <c r="AE272" s="201"/>
    </row>
    <row r="273" spans="1:31" ht="21" customHeight="1">
      <c r="A273" s="262" t="s">
        <v>504</v>
      </c>
      <c r="B273" s="202" t="s">
        <v>131</v>
      </c>
      <c r="C273" s="202" t="s">
        <v>27</v>
      </c>
      <c r="D273" s="290">
        <v>272</v>
      </c>
      <c r="E273" s="202">
        <v>270</v>
      </c>
      <c r="F273" s="202" t="s">
        <v>561</v>
      </c>
      <c r="G273" s="203"/>
      <c r="H273" s="202" t="s">
        <v>562</v>
      </c>
      <c r="I273" s="202"/>
      <c r="J273" s="202" t="s">
        <v>31</v>
      </c>
      <c r="K273" s="202"/>
      <c r="L273" s="204"/>
      <c r="M273" s="202" t="s">
        <v>31</v>
      </c>
      <c r="N273" s="202"/>
      <c r="O273" s="202"/>
      <c r="P273" s="202"/>
      <c r="Q273" s="203"/>
      <c r="R273" s="205"/>
      <c r="S273" s="203"/>
      <c r="T273" s="202"/>
      <c r="U273" s="202"/>
      <c r="V273" s="202" t="s">
        <v>32</v>
      </c>
      <c r="W273" s="202"/>
      <c r="X273" s="202"/>
      <c r="Y273" s="202" t="s">
        <v>33</v>
      </c>
      <c r="Z273" s="202"/>
      <c r="AB273" s="201"/>
      <c r="AC273" s="207"/>
      <c r="AE273" s="201"/>
    </row>
    <row r="274" spans="1:31" ht="21" customHeight="1">
      <c r="A274" s="262" t="s">
        <v>504</v>
      </c>
      <c r="B274" s="202" t="s">
        <v>384</v>
      </c>
      <c r="C274" s="202" t="s">
        <v>27</v>
      </c>
      <c r="D274" s="290">
        <v>273</v>
      </c>
      <c r="E274" s="202">
        <v>271</v>
      </c>
      <c r="F274" s="202" t="s">
        <v>563</v>
      </c>
      <c r="G274" s="203"/>
      <c r="H274" s="202"/>
      <c r="I274" s="202"/>
      <c r="J274" s="202"/>
      <c r="K274" s="202"/>
      <c r="L274" s="204" t="s">
        <v>30</v>
      </c>
      <c r="M274" s="202"/>
      <c r="N274" s="202"/>
      <c r="O274" s="202"/>
      <c r="P274" s="202"/>
      <c r="Q274" s="203"/>
      <c r="R274" s="205"/>
      <c r="S274" s="203"/>
      <c r="T274" s="210"/>
      <c r="U274" s="202"/>
      <c r="V274" s="202"/>
      <c r="W274" s="202"/>
      <c r="X274" s="202" t="s">
        <v>49</v>
      </c>
      <c r="Y274" s="202"/>
      <c r="Z274" s="202"/>
      <c r="AB274" s="201"/>
      <c r="AC274" s="207"/>
      <c r="AE274" s="201"/>
    </row>
    <row r="275" spans="1:31" ht="21" customHeight="1">
      <c r="A275" s="262" t="s">
        <v>504</v>
      </c>
      <c r="B275" s="202" t="s">
        <v>95</v>
      </c>
      <c r="C275" s="202" t="s">
        <v>27</v>
      </c>
      <c r="D275" s="290">
        <v>274</v>
      </c>
      <c r="E275" s="202">
        <v>272</v>
      </c>
      <c r="F275" s="202" t="s">
        <v>564</v>
      </c>
      <c r="G275" s="203"/>
      <c r="H275" s="202" t="s">
        <v>565</v>
      </c>
      <c r="I275" s="202"/>
      <c r="J275" s="202" t="s">
        <v>31</v>
      </c>
      <c r="K275" s="202"/>
      <c r="L275" s="204"/>
      <c r="M275" s="202" t="s">
        <v>31</v>
      </c>
      <c r="N275" s="202"/>
      <c r="O275" s="202"/>
      <c r="P275" s="202" t="s">
        <v>14</v>
      </c>
      <c r="Q275" s="203"/>
      <c r="R275" s="205"/>
      <c r="S275" s="203"/>
      <c r="T275" s="202" t="s">
        <v>566</v>
      </c>
      <c r="U275" s="202"/>
      <c r="V275" s="202" t="s">
        <v>32</v>
      </c>
      <c r="W275" s="202"/>
      <c r="X275" s="202"/>
      <c r="Y275" s="202" t="s">
        <v>33</v>
      </c>
      <c r="Z275" s="202"/>
      <c r="AB275" s="201"/>
      <c r="AC275" s="207"/>
      <c r="AE275" s="201"/>
    </row>
    <row r="276" spans="1:31" ht="21" customHeight="1">
      <c r="A276" s="262" t="s">
        <v>504</v>
      </c>
      <c r="B276" s="202" t="s">
        <v>73</v>
      </c>
      <c r="C276" s="202" t="s">
        <v>27</v>
      </c>
      <c r="D276" s="290">
        <v>275</v>
      </c>
      <c r="E276" s="202">
        <v>273</v>
      </c>
      <c r="F276" s="202" t="s">
        <v>567</v>
      </c>
      <c r="G276" s="203"/>
      <c r="H276" s="202" t="s">
        <v>568</v>
      </c>
      <c r="I276" s="202"/>
      <c r="J276" s="202"/>
      <c r="K276" s="202" t="s">
        <v>31</v>
      </c>
      <c r="L276" s="204"/>
      <c r="M276" s="202"/>
      <c r="N276" s="202"/>
      <c r="O276" s="202"/>
      <c r="P276" s="202"/>
      <c r="Q276" s="203"/>
      <c r="R276" s="205"/>
      <c r="S276" s="203"/>
      <c r="T276" s="202"/>
      <c r="U276" s="202"/>
      <c r="V276" s="202"/>
      <c r="W276" s="202" t="s">
        <v>54</v>
      </c>
      <c r="X276" s="202"/>
      <c r="Y276" s="202"/>
      <c r="Z276" s="202"/>
      <c r="AB276" s="201"/>
      <c r="AC276" s="207"/>
      <c r="AE276" s="201"/>
    </row>
    <row r="277" spans="1:31" ht="21" customHeight="1">
      <c r="A277" s="262" t="s">
        <v>504</v>
      </c>
      <c r="B277" s="202" t="s">
        <v>75</v>
      </c>
      <c r="C277" s="202" t="s">
        <v>27</v>
      </c>
      <c r="D277" s="290">
        <v>276</v>
      </c>
      <c r="E277" s="202">
        <v>274</v>
      </c>
      <c r="F277" s="202" t="s">
        <v>569</v>
      </c>
      <c r="G277" s="203"/>
      <c r="H277" s="202"/>
      <c r="I277" s="202"/>
      <c r="J277" s="202" t="s">
        <v>31</v>
      </c>
      <c r="K277" s="202"/>
      <c r="L277" s="204"/>
      <c r="M277" s="202" t="s">
        <v>31</v>
      </c>
      <c r="N277" s="202"/>
      <c r="O277" s="202"/>
      <c r="P277" s="202"/>
      <c r="Q277" s="203"/>
      <c r="R277" s="205"/>
      <c r="S277" s="203"/>
      <c r="T277" s="202"/>
      <c r="U277" s="202"/>
      <c r="V277" s="202" t="s">
        <v>32</v>
      </c>
      <c r="W277" s="202"/>
      <c r="X277" s="202"/>
      <c r="Y277" s="202" t="s">
        <v>33</v>
      </c>
      <c r="Z277" s="202"/>
      <c r="AB277" s="201"/>
      <c r="AC277" s="207"/>
      <c r="AE277" s="201"/>
    </row>
    <row r="278" spans="1:31" ht="21" customHeight="1">
      <c r="A278" s="262" t="s">
        <v>504</v>
      </c>
      <c r="B278" s="202" t="s">
        <v>75</v>
      </c>
      <c r="C278" s="202" t="s">
        <v>27</v>
      </c>
      <c r="D278" s="290">
        <v>277</v>
      </c>
      <c r="E278" s="202">
        <v>275</v>
      </c>
      <c r="F278" s="202" t="s">
        <v>570</v>
      </c>
      <c r="G278" s="203"/>
      <c r="H278" s="202" t="s">
        <v>571</v>
      </c>
      <c r="I278" s="202"/>
      <c r="J278" s="202" t="s">
        <v>31</v>
      </c>
      <c r="K278" s="202"/>
      <c r="L278" s="204"/>
      <c r="M278" s="202" t="s">
        <v>31</v>
      </c>
      <c r="N278" s="202"/>
      <c r="O278" s="202"/>
      <c r="P278" s="202"/>
      <c r="Q278" s="203"/>
      <c r="R278" s="205"/>
      <c r="S278" s="203"/>
      <c r="T278" s="202"/>
      <c r="U278" s="202"/>
      <c r="V278" s="202" t="s">
        <v>32</v>
      </c>
      <c r="W278" s="202"/>
      <c r="X278" s="202"/>
      <c r="Y278" s="202" t="s">
        <v>33</v>
      </c>
      <c r="Z278" s="202"/>
      <c r="AB278" s="201"/>
      <c r="AC278" s="207"/>
      <c r="AE278" s="201"/>
    </row>
    <row r="279" spans="1:31" ht="21" customHeight="1">
      <c r="A279" s="262" t="s">
        <v>504</v>
      </c>
      <c r="B279" s="202" t="s">
        <v>75</v>
      </c>
      <c r="C279" s="202" t="s">
        <v>27</v>
      </c>
      <c r="D279" s="290">
        <v>278</v>
      </c>
      <c r="E279" s="202">
        <v>276</v>
      </c>
      <c r="F279" s="202" t="s">
        <v>572</v>
      </c>
      <c r="G279" s="203"/>
      <c r="H279" s="202" t="s">
        <v>571</v>
      </c>
      <c r="I279" s="202"/>
      <c r="J279" s="202" t="s">
        <v>31</v>
      </c>
      <c r="K279" s="202"/>
      <c r="L279" s="204"/>
      <c r="M279" s="202" t="s">
        <v>31</v>
      </c>
      <c r="N279" s="202"/>
      <c r="O279" s="202"/>
      <c r="P279" s="202"/>
      <c r="Q279" s="203"/>
      <c r="R279" s="205"/>
      <c r="S279" s="203"/>
      <c r="T279" s="202"/>
      <c r="U279" s="202"/>
      <c r="V279" s="202" t="s">
        <v>32</v>
      </c>
      <c r="W279" s="202"/>
      <c r="X279" s="202"/>
      <c r="Y279" s="202" t="s">
        <v>33</v>
      </c>
      <c r="Z279" s="202"/>
      <c r="AB279" s="201"/>
      <c r="AC279" s="207"/>
      <c r="AE279" s="201"/>
    </row>
    <row r="280" spans="1:31" ht="21" customHeight="1">
      <c r="A280" s="262" t="s">
        <v>504</v>
      </c>
      <c r="B280" s="202" t="s">
        <v>75</v>
      </c>
      <c r="C280" s="202" t="s">
        <v>27</v>
      </c>
      <c r="D280" s="290">
        <v>279</v>
      </c>
      <c r="E280" s="202">
        <v>277</v>
      </c>
      <c r="F280" s="202" t="s">
        <v>573</v>
      </c>
      <c r="G280" s="203"/>
      <c r="H280" s="202" t="s">
        <v>571</v>
      </c>
      <c r="I280" s="202"/>
      <c r="J280" s="202" t="s">
        <v>31</v>
      </c>
      <c r="K280" s="202"/>
      <c r="L280" s="204"/>
      <c r="M280" s="202" t="s">
        <v>31</v>
      </c>
      <c r="N280" s="202"/>
      <c r="O280" s="202"/>
      <c r="P280" s="202"/>
      <c r="Q280" s="203"/>
      <c r="R280" s="205"/>
      <c r="S280" s="203"/>
      <c r="T280" s="210"/>
      <c r="U280" s="202"/>
      <c r="V280" s="202" t="s">
        <v>32</v>
      </c>
      <c r="W280" s="202"/>
      <c r="X280" s="202"/>
      <c r="Y280" s="202" t="s">
        <v>33</v>
      </c>
      <c r="Z280" s="202"/>
      <c r="AB280" s="201"/>
      <c r="AC280" s="207"/>
      <c r="AE280" s="201"/>
    </row>
    <row r="281" spans="1:31" ht="21" customHeight="1">
      <c r="A281" s="262" t="s">
        <v>504</v>
      </c>
      <c r="B281" s="202" t="s">
        <v>75</v>
      </c>
      <c r="C281" s="202" t="s">
        <v>27</v>
      </c>
      <c r="D281" s="290">
        <v>280</v>
      </c>
      <c r="E281" s="202">
        <v>278</v>
      </c>
      <c r="F281" s="202" t="s">
        <v>574</v>
      </c>
      <c r="G281" s="203"/>
      <c r="H281" s="202" t="s">
        <v>575</v>
      </c>
      <c r="I281" s="202"/>
      <c r="J281" s="202" t="s">
        <v>31</v>
      </c>
      <c r="K281" s="202"/>
      <c r="L281" s="204"/>
      <c r="M281" s="202" t="s">
        <v>31</v>
      </c>
      <c r="N281" s="202"/>
      <c r="O281" s="202"/>
      <c r="P281" s="202"/>
      <c r="Q281" s="203"/>
      <c r="R281" s="205"/>
      <c r="S281" s="203"/>
      <c r="T281" s="210"/>
      <c r="U281" s="202"/>
      <c r="V281" s="202" t="s">
        <v>32</v>
      </c>
      <c r="W281" s="202"/>
      <c r="X281" s="202"/>
      <c r="Y281" s="202" t="s">
        <v>33</v>
      </c>
      <c r="Z281" s="202"/>
      <c r="AB281" s="201"/>
      <c r="AC281" s="207"/>
      <c r="AE281" s="201"/>
    </row>
    <row r="282" spans="1:31" ht="21" customHeight="1">
      <c r="A282" s="262" t="s">
        <v>504</v>
      </c>
      <c r="B282" s="202" t="s">
        <v>50</v>
      </c>
      <c r="C282" s="202" t="s">
        <v>27</v>
      </c>
      <c r="D282" s="290">
        <v>281</v>
      </c>
      <c r="E282" s="202">
        <v>279</v>
      </c>
      <c r="F282" s="202" t="s">
        <v>576</v>
      </c>
      <c r="G282" s="203"/>
      <c r="H282" s="202"/>
      <c r="I282" s="202"/>
      <c r="J282" s="202"/>
      <c r="K282" s="202" t="s">
        <v>31</v>
      </c>
      <c r="L282" s="204"/>
      <c r="M282" s="202"/>
      <c r="N282" s="202" t="s">
        <v>53</v>
      </c>
      <c r="O282" s="202"/>
      <c r="P282" s="202"/>
      <c r="Q282" s="203"/>
      <c r="R282" s="205"/>
      <c r="S282" s="203"/>
      <c r="T282" s="210"/>
      <c r="U282" s="202"/>
      <c r="V282" s="202"/>
      <c r="W282" s="202" t="s">
        <v>54</v>
      </c>
      <c r="X282" s="202"/>
      <c r="Y282" s="202"/>
      <c r="Z282" s="202" t="s">
        <v>55</v>
      </c>
      <c r="AB282" s="201"/>
      <c r="AC282" s="207"/>
      <c r="AE282" s="201"/>
    </row>
    <row r="283" spans="1:31" ht="21" customHeight="1">
      <c r="A283" s="262" t="s">
        <v>504</v>
      </c>
      <c r="B283" s="202" t="s">
        <v>95</v>
      </c>
      <c r="C283" s="202" t="s">
        <v>27</v>
      </c>
      <c r="D283" s="290">
        <v>282</v>
      </c>
      <c r="E283" s="202">
        <v>280</v>
      </c>
      <c r="F283" s="202" t="s">
        <v>577</v>
      </c>
      <c r="G283" s="203"/>
      <c r="H283" s="202" t="s">
        <v>578</v>
      </c>
      <c r="I283" s="202"/>
      <c r="J283" s="202" t="s">
        <v>31</v>
      </c>
      <c r="K283" s="202"/>
      <c r="L283" s="204"/>
      <c r="M283" s="202"/>
      <c r="N283" s="202"/>
      <c r="O283" s="202"/>
      <c r="P283" s="202"/>
      <c r="Q283" s="203"/>
      <c r="R283" s="205"/>
      <c r="S283" s="203"/>
      <c r="T283" s="210"/>
      <c r="U283" s="202"/>
      <c r="V283" s="202" t="s">
        <v>32</v>
      </c>
      <c r="W283" s="202"/>
      <c r="X283" s="202"/>
      <c r="Y283" s="202"/>
      <c r="Z283" s="202"/>
      <c r="AB283" s="201"/>
      <c r="AC283" s="207"/>
      <c r="AE283" s="201"/>
    </row>
    <row r="284" spans="1:31" ht="21" customHeight="1">
      <c r="A284" s="262" t="s">
        <v>504</v>
      </c>
      <c r="B284" s="202" t="s">
        <v>73</v>
      </c>
      <c r="C284" s="202" t="s">
        <v>27</v>
      </c>
      <c r="D284" s="290">
        <v>283</v>
      </c>
      <c r="E284" s="202">
        <v>281</v>
      </c>
      <c r="F284" s="202" t="s">
        <v>579</v>
      </c>
      <c r="G284" s="203"/>
      <c r="H284" s="202"/>
      <c r="I284" s="202"/>
      <c r="J284" s="202" t="s">
        <v>31</v>
      </c>
      <c r="K284" s="202"/>
      <c r="L284" s="204"/>
      <c r="M284" s="202"/>
      <c r="N284" s="202"/>
      <c r="O284" s="202"/>
      <c r="P284" s="202"/>
      <c r="Q284" s="203"/>
      <c r="R284" s="205"/>
      <c r="S284" s="203"/>
      <c r="T284" s="210"/>
      <c r="U284" s="202"/>
      <c r="V284" s="202" t="s">
        <v>32</v>
      </c>
      <c r="W284" s="202"/>
      <c r="X284" s="202"/>
      <c r="Y284" s="202"/>
      <c r="Z284" s="202"/>
      <c r="AB284" s="201"/>
      <c r="AC284" s="207"/>
      <c r="AE284" s="201"/>
    </row>
    <row r="285" spans="1:31" ht="21" customHeight="1">
      <c r="A285" s="261" t="s">
        <v>580</v>
      </c>
      <c r="B285" s="202" t="s">
        <v>73</v>
      </c>
      <c r="C285" s="202" t="s">
        <v>27</v>
      </c>
      <c r="D285" s="291">
        <v>284</v>
      </c>
      <c r="E285" s="202">
        <v>282</v>
      </c>
      <c r="F285" s="202" t="s">
        <v>581</v>
      </c>
      <c r="G285" s="203"/>
      <c r="H285" s="202" t="s">
        <v>582</v>
      </c>
      <c r="I285" s="202" t="s">
        <v>30</v>
      </c>
      <c r="J285" s="202"/>
      <c r="K285" s="202"/>
      <c r="L285" s="204" t="s">
        <v>30</v>
      </c>
      <c r="M285" s="202"/>
      <c r="N285" s="202"/>
      <c r="O285" s="202"/>
      <c r="P285" s="202"/>
      <c r="Q285" s="203"/>
      <c r="R285" s="205"/>
      <c r="S285" s="203"/>
      <c r="T285" s="210"/>
      <c r="U285" s="202" t="s">
        <v>48</v>
      </c>
      <c r="V285" s="202"/>
      <c r="W285" s="202"/>
      <c r="X285" s="202" t="s">
        <v>49</v>
      </c>
      <c r="Y285" s="202"/>
      <c r="Z285" s="202"/>
      <c r="AB285" s="201"/>
      <c r="AC285" s="207"/>
      <c r="AE285" s="201"/>
    </row>
    <row r="286" spans="1:31" ht="21" customHeight="1">
      <c r="A286" s="261" t="s">
        <v>580</v>
      </c>
      <c r="B286" s="202" t="s">
        <v>73</v>
      </c>
      <c r="C286" s="202" t="s">
        <v>27</v>
      </c>
      <c r="D286" s="291">
        <v>285</v>
      </c>
      <c r="E286" s="202">
        <v>283</v>
      </c>
      <c r="F286" s="202" t="s">
        <v>583</v>
      </c>
      <c r="G286" s="203"/>
      <c r="H286" s="202"/>
      <c r="I286" s="202" t="s">
        <v>31</v>
      </c>
      <c r="J286" s="202"/>
      <c r="K286" s="202" t="s">
        <v>31</v>
      </c>
      <c r="L286" s="204"/>
      <c r="M286" s="202" t="s">
        <v>67</v>
      </c>
      <c r="N286" s="202"/>
      <c r="O286" s="202"/>
      <c r="P286" s="202"/>
      <c r="Q286" s="203"/>
      <c r="R286" s="205"/>
      <c r="S286" s="203"/>
      <c r="T286" s="210"/>
      <c r="U286" s="202" t="s">
        <v>48</v>
      </c>
      <c r="V286" s="202"/>
      <c r="W286" s="202" t="s">
        <v>54</v>
      </c>
      <c r="X286" s="202"/>
      <c r="Y286" s="202" t="s">
        <v>33</v>
      </c>
      <c r="Z286" s="202"/>
      <c r="AB286" s="201"/>
      <c r="AC286" s="207"/>
      <c r="AE286" s="201"/>
    </row>
    <row r="287" spans="1:31" ht="21" customHeight="1">
      <c r="A287" s="261" t="s">
        <v>580</v>
      </c>
      <c r="B287" s="202" t="s">
        <v>149</v>
      </c>
      <c r="C287" s="202" t="s">
        <v>27</v>
      </c>
      <c r="D287" s="291">
        <v>286</v>
      </c>
      <c r="E287" s="202">
        <v>284</v>
      </c>
      <c r="F287" s="202" t="s">
        <v>584</v>
      </c>
      <c r="G287" s="203"/>
      <c r="H287" s="202" t="s">
        <v>585</v>
      </c>
      <c r="I287" s="202"/>
      <c r="J287" s="202"/>
      <c r="K287" s="202"/>
      <c r="L287" s="204"/>
      <c r="M287" s="202"/>
      <c r="N287" s="202" t="s">
        <v>347</v>
      </c>
      <c r="O287" s="202"/>
      <c r="P287" s="202"/>
      <c r="Q287" s="203"/>
      <c r="R287" s="205"/>
      <c r="S287" s="203"/>
      <c r="T287" s="210"/>
      <c r="U287" s="202"/>
      <c r="V287" s="202"/>
      <c r="W287" s="202"/>
      <c r="X287" s="202"/>
      <c r="Y287" s="202"/>
      <c r="Z287" s="202" t="s">
        <v>55</v>
      </c>
      <c r="AB287" s="201"/>
      <c r="AC287" s="207"/>
      <c r="AE287" s="201"/>
    </row>
    <row r="288" spans="1:31" ht="21" customHeight="1">
      <c r="A288" s="261" t="s">
        <v>580</v>
      </c>
      <c r="B288" s="202" t="s">
        <v>73</v>
      </c>
      <c r="C288" s="202" t="s">
        <v>27</v>
      </c>
      <c r="D288" s="291">
        <v>287</v>
      </c>
      <c r="E288" s="202">
        <v>285</v>
      </c>
      <c r="F288" s="202" t="s">
        <v>586</v>
      </c>
      <c r="G288" s="203"/>
      <c r="H288" s="202"/>
      <c r="I288" s="202"/>
      <c r="J288" s="202"/>
      <c r="K288" s="202" t="s">
        <v>31</v>
      </c>
      <c r="L288" s="204"/>
      <c r="M288" s="202"/>
      <c r="N288" s="202"/>
      <c r="O288" s="202"/>
      <c r="P288" s="202"/>
      <c r="Q288" s="203"/>
      <c r="R288" s="205"/>
      <c r="S288" s="203"/>
      <c r="T288" s="210"/>
      <c r="U288" s="202"/>
      <c r="V288" s="202"/>
      <c r="W288" s="202" t="s">
        <v>54</v>
      </c>
      <c r="X288" s="202"/>
      <c r="Y288" s="202"/>
      <c r="Z288" s="202"/>
      <c r="AB288" s="201"/>
      <c r="AC288" s="207"/>
      <c r="AE288" s="201"/>
    </row>
    <row r="289" spans="1:37" ht="21" customHeight="1">
      <c r="A289" s="266" t="s">
        <v>580</v>
      </c>
      <c r="B289" s="219" t="s">
        <v>98</v>
      </c>
      <c r="C289" s="202" t="s">
        <v>27</v>
      </c>
      <c r="D289" s="291">
        <v>288</v>
      </c>
      <c r="E289" s="202">
        <v>286</v>
      </c>
      <c r="F289" s="219" t="s">
        <v>587</v>
      </c>
      <c r="G289" s="216"/>
      <c r="H289" s="219" t="s">
        <v>588</v>
      </c>
      <c r="I289" s="219" t="s">
        <v>31</v>
      </c>
      <c r="J289" s="219"/>
      <c r="K289" s="219"/>
      <c r="L289" s="220" t="s">
        <v>30</v>
      </c>
      <c r="M289" s="219"/>
      <c r="N289" s="219"/>
      <c r="O289" s="219"/>
      <c r="P289" s="219"/>
      <c r="Q289" s="216"/>
      <c r="R289" s="221"/>
      <c r="S289" s="216"/>
      <c r="T289" s="222" t="s">
        <v>589</v>
      </c>
      <c r="U289" s="202" t="s">
        <v>48</v>
      </c>
      <c r="V289" s="202"/>
      <c r="W289" s="202"/>
      <c r="X289" s="202" t="s">
        <v>49</v>
      </c>
      <c r="Y289" s="202"/>
      <c r="Z289" s="202"/>
      <c r="AB289" s="201"/>
      <c r="AC289" s="207"/>
      <c r="AE289" s="201"/>
    </row>
    <row r="290" spans="1:37" ht="22.5" customHeight="1">
      <c r="A290" s="261" t="s">
        <v>580</v>
      </c>
      <c r="B290" s="202" t="s">
        <v>590</v>
      </c>
      <c r="C290" s="202" t="s">
        <v>27</v>
      </c>
      <c r="D290" s="291">
        <v>289</v>
      </c>
      <c r="E290" s="202">
        <v>287</v>
      </c>
      <c r="F290" s="219" t="s">
        <v>591</v>
      </c>
      <c r="G290" s="216"/>
      <c r="H290" s="219" t="s">
        <v>592</v>
      </c>
      <c r="I290" s="219"/>
      <c r="J290" s="219"/>
      <c r="K290" s="219"/>
      <c r="L290" s="220" t="s">
        <v>30</v>
      </c>
      <c r="M290" s="219"/>
      <c r="N290" s="219"/>
      <c r="O290" s="219"/>
      <c r="P290" s="219"/>
      <c r="Q290" s="216"/>
      <c r="R290" s="221"/>
      <c r="S290" s="216"/>
      <c r="T290" s="222" t="s">
        <v>593</v>
      </c>
      <c r="U290" s="222"/>
      <c r="V290" s="222"/>
      <c r="W290" s="222"/>
      <c r="X290" s="222" t="s">
        <v>49</v>
      </c>
      <c r="Y290" s="222"/>
      <c r="Z290" s="222"/>
      <c r="AB290" s="201"/>
      <c r="AC290" s="208" t="s">
        <v>37</v>
      </c>
      <c r="AD290" s="209" t="s">
        <v>242</v>
      </c>
      <c r="AE290" s="209" t="s">
        <v>243</v>
      </c>
      <c r="AF290" s="209" t="s">
        <v>244</v>
      </c>
      <c r="AG290" s="209" t="s">
        <v>245</v>
      </c>
      <c r="AH290" s="209" t="s">
        <v>246</v>
      </c>
      <c r="AI290" s="209" t="s">
        <v>247</v>
      </c>
      <c r="AJ290" s="209" t="s">
        <v>248</v>
      </c>
      <c r="AK290" s="209" t="s">
        <v>249</v>
      </c>
    </row>
    <row r="291" spans="1:37" ht="22.5" customHeight="1">
      <c r="A291" s="242" t="s">
        <v>594</v>
      </c>
      <c r="B291" s="202" t="s">
        <v>98</v>
      </c>
      <c r="C291" s="202" t="s">
        <v>27</v>
      </c>
      <c r="D291" s="292">
        <v>290</v>
      </c>
      <c r="E291" s="202">
        <v>288</v>
      </c>
      <c r="F291" s="202" t="s">
        <v>595</v>
      </c>
      <c r="G291" s="203"/>
      <c r="H291" s="202" t="s">
        <v>596</v>
      </c>
      <c r="I291" s="202"/>
      <c r="J291" s="202" t="s">
        <v>31</v>
      </c>
      <c r="K291" s="202"/>
      <c r="L291" s="204"/>
      <c r="M291" s="202" t="s">
        <v>67</v>
      </c>
      <c r="N291" s="202"/>
      <c r="O291" s="202"/>
      <c r="P291" s="202"/>
      <c r="Q291" s="203"/>
      <c r="R291" s="205"/>
      <c r="S291" s="203"/>
      <c r="T291" s="210" t="s">
        <v>597</v>
      </c>
      <c r="U291" s="222"/>
      <c r="V291" s="222" t="s">
        <v>32</v>
      </c>
      <c r="W291" s="222"/>
      <c r="X291" s="222"/>
      <c r="Y291" s="222" t="s">
        <v>33</v>
      </c>
      <c r="Z291" s="222"/>
      <c r="AB291" s="201"/>
      <c r="AC291" s="208" t="str">
        <f t="shared" ref="AC291:AK291" si="33">AC229</f>
        <v>#</v>
      </c>
      <c r="AD291" s="209" t="str">
        <f t="shared" si="33"/>
        <v>月曜</v>
      </c>
      <c r="AE291" s="209" t="str">
        <f t="shared" si="33"/>
        <v>火曜</v>
      </c>
      <c r="AF291" s="209" t="str">
        <f t="shared" si="33"/>
        <v>木曜段紙</v>
      </c>
      <c r="AG291" s="209" t="str">
        <f t="shared" si="33"/>
        <v>水曜金属</v>
      </c>
      <c r="AH291" s="209" t="str">
        <f t="shared" si="33"/>
        <v>水曜</v>
      </c>
      <c r="AI291" s="209" t="str">
        <f t="shared" si="33"/>
        <v>木曜</v>
      </c>
      <c r="AJ291" s="209" t="str">
        <f t="shared" si="33"/>
        <v>金曜</v>
      </c>
      <c r="AK291" s="209" t="str">
        <f t="shared" si="33"/>
        <v>土曜</v>
      </c>
    </row>
    <row r="292" spans="1:37" ht="22.5" customHeight="1">
      <c r="A292" s="263"/>
      <c r="B292" s="202"/>
      <c r="C292" s="202"/>
      <c r="D292" s="293"/>
      <c r="E292" s="202"/>
      <c r="F292" s="202"/>
      <c r="G292" s="203"/>
      <c r="H292" s="202"/>
      <c r="I292" s="202"/>
      <c r="J292" s="202"/>
      <c r="K292" s="202"/>
      <c r="L292" s="204"/>
      <c r="M292" s="202"/>
      <c r="N292" s="202"/>
      <c r="O292" s="202"/>
      <c r="P292" s="202"/>
      <c r="Q292" s="203"/>
      <c r="R292" s="205"/>
      <c r="S292" s="203"/>
      <c r="T292" s="210"/>
      <c r="U292" s="222"/>
      <c r="V292" s="222"/>
      <c r="W292" s="222"/>
      <c r="X292" s="222"/>
      <c r="Y292" s="222"/>
      <c r="Z292" s="222"/>
      <c r="AB292" s="201"/>
      <c r="AC292" s="208" t="str">
        <f t="shared" ref="AC292:AK292" si="34">AC4</f>
        <v>段紙</v>
      </c>
      <c r="AD292" s="209">
        <f t="shared" si="34"/>
        <v>2</v>
      </c>
      <c r="AE292" s="209">
        <f t="shared" si="34"/>
        <v>0</v>
      </c>
      <c r="AF292" s="209">
        <f t="shared" si="34"/>
        <v>2</v>
      </c>
      <c r="AG292" s="209">
        <f t="shared" si="34"/>
        <v>2</v>
      </c>
      <c r="AH292" s="209">
        <f t="shared" si="34"/>
        <v>0</v>
      </c>
      <c r="AI292" s="209">
        <f t="shared" si="34"/>
        <v>2</v>
      </c>
      <c r="AJ292" s="209">
        <f t="shared" si="34"/>
        <v>0</v>
      </c>
      <c r="AK292" s="209">
        <f t="shared" si="34"/>
        <v>0</v>
      </c>
    </row>
    <row r="293" spans="1:37" ht="22.5" customHeight="1">
      <c r="A293" s="264"/>
      <c r="B293" s="219"/>
      <c r="C293" s="219"/>
      <c r="D293" s="293"/>
      <c r="E293" s="219"/>
      <c r="F293" s="219"/>
      <c r="G293" s="216"/>
      <c r="H293" s="219"/>
      <c r="I293" s="219"/>
      <c r="J293" s="219"/>
      <c r="K293" s="219"/>
      <c r="L293" s="220"/>
      <c r="M293" s="219"/>
      <c r="N293" s="219"/>
      <c r="O293" s="219"/>
      <c r="P293" s="219"/>
      <c r="Q293" s="216"/>
      <c r="R293" s="221"/>
      <c r="S293" s="216"/>
      <c r="T293" s="222"/>
      <c r="U293" s="222"/>
      <c r="V293" s="222"/>
      <c r="W293" s="222"/>
      <c r="X293" s="222"/>
      <c r="Y293" s="222"/>
      <c r="Z293" s="222"/>
      <c r="AB293" s="201"/>
      <c r="AC293" s="208" t="str">
        <f t="shared" ref="AC293:AK293" si="35">AC7</f>
        <v>金属</v>
      </c>
      <c r="AD293" s="209">
        <f t="shared" si="35"/>
        <v>0</v>
      </c>
      <c r="AE293" s="209">
        <f t="shared" si="35"/>
        <v>0</v>
      </c>
      <c r="AF293" s="209">
        <f t="shared" si="35"/>
        <v>0</v>
      </c>
      <c r="AG293" s="209">
        <f t="shared" si="35"/>
        <v>0</v>
      </c>
      <c r="AH293" s="209">
        <f t="shared" si="35"/>
        <v>0</v>
      </c>
      <c r="AI293" s="209">
        <f t="shared" si="35"/>
        <v>0</v>
      </c>
      <c r="AJ293" s="209">
        <f t="shared" si="35"/>
        <v>0</v>
      </c>
      <c r="AK293" s="209">
        <f t="shared" si="35"/>
        <v>67</v>
      </c>
    </row>
    <row r="294" spans="1:37" ht="22.5" customHeight="1">
      <c r="I294" s="207"/>
      <c r="J294" s="201"/>
      <c r="K294" s="201"/>
      <c r="L294" s="223"/>
      <c r="M294" s="201"/>
      <c r="N294" s="201"/>
      <c r="O294" s="201"/>
      <c r="P294" s="201"/>
      <c r="Q294" s="201"/>
      <c r="R294" s="224"/>
      <c r="T294" s="201"/>
      <c r="AC294" s="208" t="str">
        <f t="shared" ref="AC294:AK294" si="36">AC8</f>
        <v>〇</v>
      </c>
      <c r="AD294" s="209">
        <f t="shared" si="36"/>
        <v>0</v>
      </c>
      <c r="AE294" s="209">
        <f t="shared" si="36"/>
        <v>0</v>
      </c>
      <c r="AF294" s="209">
        <f t="shared" si="36"/>
        <v>0</v>
      </c>
      <c r="AG294" s="209">
        <f t="shared" si="36"/>
        <v>0</v>
      </c>
      <c r="AH294" s="209">
        <f t="shared" si="36"/>
        <v>0</v>
      </c>
      <c r="AI294" s="209">
        <f t="shared" si="36"/>
        <v>21</v>
      </c>
      <c r="AJ294" s="209">
        <f t="shared" si="36"/>
        <v>0</v>
      </c>
      <c r="AK294" s="209">
        <f t="shared" si="36"/>
        <v>0</v>
      </c>
    </row>
    <row r="295" spans="1:37" ht="22.5" customHeight="1">
      <c r="I295" s="207"/>
      <c r="J295" s="201"/>
      <c r="K295" s="201"/>
      <c r="L295" s="223"/>
      <c r="M295" s="201"/>
      <c r="N295" s="201"/>
      <c r="O295" s="201"/>
      <c r="P295" s="201"/>
      <c r="Q295" s="201"/>
      <c r="R295" s="224"/>
      <c r="T295" s="201"/>
      <c r="AC295" s="208" t="str">
        <f t="shared" ref="AC295:AK295" si="37">AC9</f>
        <v>N-（西山）</v>
      </c>
      <c r="AD295" s="209">
        <f t="shared" si="37"/>
        <v>60</v>
      </c>
      <c r="AE295" s="209">
        <f t="shared" si="37"/>
        <v>49</v>
      </c>
      <c r="AF295" s="209">
        <f t="shared" si="37"/>
        <v>47</v>
      </c>
      <c r="AG295" s="209">
        <f t="shared" si="37"/>
        <v>61</v>
      </c>
      <c r="AH295" s="209">
        <f t="shared" si="37"/>
        <v>61</v>
      </c>
      <c r="AI295" s="209">
        <f t="shared" si="37"/>
        <v>0</v>
      </c>
      <c r="AJ295" s="209">
        <f t="shared" si="37"/>
        <v>0</v>
      </c>
      <c r="AK295" s="209">
        <f t="shared" si="37"/>
        <v>0</v>
      </c>
    </row>
    <row r="296" spans="1:37" ht="22.5" customHeight="1">
      <c r="I296" s="207"/>
      <c r="J296" s="201"/>
      <c r="K296" s="201"/>
      <c r="L296" s="223"/>
      <c r="M296" s="201"/>
      <c r="N296" s="201"/>
      <c r="O296" s="201"/>
      <c r="P296" s="201"/>
      <c r="Q296" s="201"/>
      <c r="R296" s="224"/>
      <c r="T296" s="201"/>
      <c r="AC296" s="208" t="str">
        <f t="shared" ref="AC296:AK296" si="38">AC10</f>
        <v>K-</v>
      </c>
      <c r="AD296" s="209">
        <f t="shared" si="38"/>
        <v>54</v>
      </c>
      <c r="AE296" s="209">
        <f t="shared" si="38"/>
        <v>60</v>
      </c>
      <c r="AF296" s="209">
        <f t="shared" si="38"/>
        <v>94</v>
      </c>
      <c r="AG296" s="209">
        <f t="shared" si="38"/>
        <v>37</v>
      </c>
      <c r="AH296" s="209">
        <f t="shared" si="38"/>
        <v>42</v>
      </c>
      <c r="AI296" s="209">
        <f t="shared" si="38"/>
        <v>0</v>
      </c>
      <c r="AJ296" s="209">
        <f t="shared" si="38"/>
        <v>0</v>
      </c>
      <c r="AK296" s="209">
        <f t="shared" si="38"/>
        <v>0</v>
      </c>
    </row>
    <row r="297" spans="1:37" ht="22.5" customHeight="1">
      <c r="I297" s="207"/>
      <c r="J297" s="201"/>
      <c r="K297" s="201"/>
      <c r="L297" s="223"/>
      <c r="M297" s="201"/>
      <c r="N297" s="201"/>
      <c r="O297" s="201"/>
      <c r="P297" s="201"/>
      <c r="Q297" s="201"/>
      <c r="R297" s="224"/>
      <c r="T297" s="201"/>
      <c r="AC297" s="208" t="str">
        <f t="shared" ref="AC297:AK297" si="39">AC11</f>
        <v>M-</v>
      </c>
      <c r="AD297" s="209">
        <f t="shared" si="39"/>
        <v>0</v>
      </c>
      <c r="AE297" s="209">
        <f t="shared" si="39"/>
        <v>0</v>
      </c>
      <c r="AF297" s="209">
        <f t="shared" si="39"/>
        <v>33</v>
      </c>
      <c r="AG297" s="209">
        <f t="shared" si="39"/>
        <v>0</v>
      </c>
      <c r="AH297" s="209">
        <f t="shared" si="39"/>
        <v>0</v>
      </c>
      <c r="AI297" s="209">
        <f t="shared" si="39"/>
        <v>0</v>
      </c>
      <c r="AJ297" s="209">
        <f t="shared" si="39"/>
        <v>0</v>
      </c>
      <c r="AK297" s="209">
        <f t="shared" si="39"/>
        <v>0</v>
      </c>
    </row>
    <row r="298" spans="1:37" ht="22.5" customHeight="1">
      <c r="I298" s="207"/>
      <c r="J298" s="201"/>
      <c r="K298" s="201"/>
      <c r="L298" s="223"/>
      <c r="M298" s="201"/>
      <c r="N298" s="201"/>
      <c r="O298" s="201"/>
      <c r="P298" s="201"/>
      <c r="Q298" s="201"/>
      <c r="R298" s="224"/>
      <c r="T298" s="201"/>
      <c r="AC298" s="208" t="str">
        <f t="shared" ref="AC298:AK298" si="40">AC12</f>
        <v>計</v>
      </c>
      <c r="AD298" s="209">
        <f t="shared" si="40"/>
        <v>116</v>
      </c>
      <c r="AE298" s="209">
        <f t="shared" si="40"/>
        <v>109</v>
      </c>
      <c r="AF298" s="209">
        <f t="shared" si="40"/>
        <v>176</v>
      </c>
      <c r="AG298" s="209">
        <f t="shared" si="40"/>
        <v>100</v>
      </c>
      <c r="AH298" s="209">
        <f t="shared" si="40"/>
        <v>103</v>
      </c>
      <c r="AI298" s="209">
        <f t="shared" si="40"/>
        <v>23</v>
      </c>
      <c r="AJ298" s="209">
        <f t="shared" si="40"/>
        <v>0</v>
      </c>
      <c r="AK298" s="209">
        <f t="shared" si="40"/>
        <v>67</v>
      </c>
    </row>
    <row r="299" spans="1:37" ht="22.5" customHeight="1">
      <c r="I299" s="207"/>
      <c r="J299" s="201"/>
      <c r="K299" s="201"/>
      <c r="L299" s="223"/>
      <c r="M299" s="201"/>
      <c r="N299" s="201"/>
      <c r="O299" s="201"/>
      <c r="P299" s="201"/>
      <c r="Q299" s="201"/>
      <c r="R299" s="224"/>
      <c r="T299" s="201"/>
    </row>
    <row r="300" spans="1:37" ht="22.5" customHeight="1">
      <c r="I300" s="207"/>
      <c r="J300" s="201"/>
      <c r="K300" s="201"/>
      <c r="L300" s="223"/>
      <c r="M300" s="201"/>
      <c r="N300" s="201"/>
      <c r="O300" s="201"/>
      <c r="P300" s="201"/>
      <c r="Q300" s="201"/>
      <c r="R300" s="224"/>
      <c r="T300" s="201"/>
    </row>
    <row r="301" spans="1:37" ht="22.5" customHeight="1">
      <c r="I301" s="207"/>
      <c r="J301" s="201"/>
      <c r="K301" s="201"/>
      <c r="L301" s="223"/>
      <c r="M301" s="201"/>
      <c r="N301" s="201"/>
      <c r="O301" s="201"/>
      <c r="P301" s="201"/>
      <c r="Q301" s="201"/>
      <c r="R301" s="224"/>
      <c r="T301" s="201"/>
    </row>
    <row r="302" spans="1:37" ht="22.5" customHeight="1">
      <c r="K302" s="201"/>
      <c r="R302" s="224"/>
    </row>
    <row r="303" spans="1:37" ht="22.5" customHeight="1">
      <c r="K303" s="201"/>
      <c r="R303" s="224"/>
    </row>
    <row r="304" spans="1:37" ht="22.5" customHeight="1">
      <c r="R304" s="224"/>
    </row>
  </sheetData>
  <phoneticPr fontId="1"/>
  <printOptions horizontalCentered="1" verticalCentered="1"/>
  <pageMargins left="0.23622047244094491" right="0.23622047244094491" top="0.74803149606299213" bottom="0.74803149606299213" header="0.31496062992125978" footer="0.31496062992125978"/>
  <pageSetup paperSize="9" scale="25" fitToHeight="0" orientation="portrait"/>
  <headerFooter scaleWithDoc="0">
    <oddHeader>&amp;L&amp;9 （有）上野清掃社
  TEL  0595-36-2448&amp;C&amp;14 契約物件表&amp;R&amp;P/&amp;N</oddHeader>
    <oddFooter>&amp;L西山伸一作成
&amp;R&amp;D
&amp;T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T40"/>
  <sheetViews>
    <sheetView zoomScaleNormal="100" zoomScaleSheetLayoutView="95" workbookViewId="0">
      <selection activeCell="Q35" sqref="Q35"/>
    </sheetView>
  </sheetViews>
  <sheetFormatPr baseColWidth="10" defaultColWidth="8.83203125" defaultRowHeight="18"/>
  <cols>
    <col min="1" max="1" width="5.83203125" style="85" customWidth="1"/>
    <col min="2" max="2" width="20" style="146" customWidth="1"/>
    <col min="3" max="7" width="2" style="227" customWidth="1"/>
    <col min="8" max="8" width="1.6640625" style="227" customWidth="1"/>
    <col min="9" max="9" width="5.83203125" style="227" customWidth="1"/>
    <col min="10" max="10" width="20" style="227" customWidth="1"/>
    <col min="11" max="15" width="2" style="227" customWidth="1"/>
  </cols>
  <sheetData>
    <row r="1" spans="1:17" ht="21" customHeight="1">
      <c r="A1" s="228" t="s">
        <v>598</v>
      </c>
      <c r="B1" s="229"/>
      <c r="C1" s="230"/>
      <c r="D1" s="230"/>
      <c r="E1" s="230"/>
      <c r="F1" s="230"/>
      <c r="G1" s="230"/>
      <c r="H1" s="230"/>
      <c r="I1" s="230"/>
      <c r="J1" s="230"/>
      <c r="K1" s="230"/>
      <c r="L1" s="230"/>
      <c r="M1" s="230"/>
      <c r="N1" s="230"/>
      <c r="O1" s="230"/>
    </row>
    <row r="3" spans="1:17" ht="19.25" customHeight="1">
      <c r="A3" s="126" t="s">
        <v>25</v>
      </c>
      <c r="B3" s="127" t="s">
        <v>599</v>
      </c>
      <c r="C3" s="127">
        <v>1</v>
      </c>
      <c r="D3" s="127">
        <v>2</v>
      </c>
      <c r="E3" s="127">
        <v>3</v>
      </c>
      <c r="F3" s="127">
        <v>4</v>
      </c>
      <c r="G3" s="128">
        <v>5</v>
      </c>
      <c r="I3" s="126" t="s">
        <v>600</v>
      </c>
      <c r="J3" s="127" t="s">
        <v>269</v>
      </c>
      <c r="K3" s="127">
        <v>1</v>
      </c>
      <c r="L3" s="127">
        <v>2</v>
      </c>
      <c r="M3" s="127">
        <v>3</v>
      </c>
      <c r="N3" s="127">
        <v>4</v>
      </c>
      <c r="O3" s="128">
        <v>5</v>
      </c>
    </row>
    <row r="4" spans="1:17" ht="19.25" customHeight="1">
      <c r="A4" s="129" t="s">
        <v>25</v>
      </c>
      <c r="B4" s="130" t="s">
        <v>601</v>
      </c>
      <c r="C4" s="130">
        <v>1</v>
      </c>
      <c r="D4" s="130">
        <v>2</v>
      </c>
      <c r="E4" s="130">
        <v>3</v>
      </c>
      <c r="F4" s="130">
        <v>4</v>
      </c>
      <c r="G4" s="131">
        <v>5</v>
      </c>
      <c r="H4" s="86"/>
      <c r="I4" s="129" t="s">
        <v>600</v>
      </c>
      <c r="J4" s="130" t="s">
        <v>267</v>
      </c>
      <c r="K4" s="130">
        <v>1</v>
      </c>
      <c r="L4" s="130">
        <v>2</v>
      </c>
      <c r="M4" s="130">
        <v>3</v>
      </c>
      <c r="N4" s="130">
        <v>4</v>
      </c>
      <c r="O4" s="131">
        <v>5</v>
      </c>
    </row>
    <row r="5" spans="1:17" ht="19.25" customHeight="1">
      <c r="A5" s="129" t="s">
        <v>25</v>
      </c>
      <c r="B5" s="130" t="s">
        <v>76</v>
      </c>
      <c r="C5" s="130">
        <v>1</v>
      </c>
      <c r="D5" s="130">
        <v>2</v>
      </c>
      <c r="E5" s="130">
        <v>3</v>
      </c>
      <c r="F5" s="130">
        <v>4</v>
      </c>
      <c r="G5" s="131">
        <v>5</v>
      </c>
      <c r="H5" s="86"/>
      <c r="I5" s="129" t="s">
        <v>600</v>
      </c>
      <c r="J5" s="130" t="s">
        <v>271</v>
      </c>
      <c r="K5" s="130">
        <v>1</v>
      </c>
      <c r="L5" s="130">
        <v>2</v>
      </c>
      <c r="M5" s="130">
        <v>3</v>
      </c>
      <c r="N5" s="130">
        <v>4</v>
      </c>
      <c r="O5" s="131">
        <v>5</v>
      </c>
    </row>
    <row r="6" spans="1:17" ht="19.25" customHeight="1">
      <c r="A6" s="129" t="s">
        <v>25</v>
      </c>
      <c r="B6" s="130" t="s">
        <v>602</v>
      </c>
      <c r="C6" s="130">
        <v>1</v>
      </c>
      <c r="D6" s="130">
        <v>2</v>
      </c>
      <c r="E6" s="130">
        <v>3</v>
      </c>
      <c r="F6" s="130">
        <v>4</v>
      </c>
      <c r="G6" s="131">
        <v>5</v>
      </c>
      <c r="H6" s="86"/>
      <c r="I6" s="129" t="s">
        <v>600</v>
      </c>
      <c r="J6" s="130" t="s">
        <v>273</v>
      </c>
      <c r="K6" s="130">
        <v>1</v>
      </c>
      <c r="L6" s="130">
        <v>2</v>
      </c>
      <c r="M6" s="130">
        <v>3</v>
      </c>
      <c r="N6" s="130">
        <v>4</v>
      </c>
      <c r="O6" s="131">
        <v>5</v>
      </c>
    </row>
    <row r="7" spans="1:17" ht="19.25" customHeight="1">
      <c r="A7" s="129" t="s">
        <v>25</v>
      </c>
      <c r="B7" s="130" t="s">
        <v>603</v>
      </c>
      <c r="C7" s="130">
        <v>1</v>
      </c>
      <c r="D7" s="130">
        <v>2</v>
      </c>
      <c r="E7" s="130">
        <v>3</v>
      </c>
      <c r="F7" s="130">
        <v>4</v>
      </c>
      <c r="G7" s="131">
        <v>5</v>
      </c>
      <c r="H7" s="86"/>
      <c r="I7" s="129" t="s">
        <v>600</v>
      </c>
      <c r="J7" s="130" t="s">
        <v>279</v>
      </c>
      <c r="K7" s="130">
        <v>1</v>
      </c>
      <c r="L7" s="130">
        <v>2</v>
      </c>
      <c r="M7" s="130">
        <v>3</v>
      </c>
      <c r="N7" s="130">
        <v>4</v>
      </c>
      <c r="O7" s="131">
        <v>5</v>
      </c>
    </row>
    <row r="8" spans="1:17" ht="19.25" customHeight="1">
      <c r="A8" s="129" t="s">
        <v>25</v>
      </c>
      <c r="B8" s="130" t="s">
        <v>604</v>
      </c>
      <c r="C8" s="130">
        <v>1</v>
      </c>
      <c r="D8" s="130">
        <v>2</v>
      </c>
      <c r="E8" s="130">
        <v>3</v>
      </c>
      <c r="F8" s="130">
        <v>4</v>
      </c>
      <c r="G8" s="131">
        <v>5</v>
      </c>
      <c r="H8" s="86"/>
      <c r="I8" s="129" t="s">
        <v>600</v>
      </c>
      <c r="J8" s="130" t="s">
        <v>605</v>
      </c>
      <c r="K8" s="130">
        <v>1</v>
      </c>
      <c r="L8" s="130">
        <v>2</v>
      </c>
      <c r="M8" s="130">
        <v>3</v>
      </c>
      <c r="N8" s="130">
        <v>4</v>
      </c>
      <c r="O8" s="131">
        <v>5</v>
      </c>
      <c r="Q8" s="87"/>
    </row>
    <row r="9" spans="1:17" ht="19.25" customHeight="1">
      <c r="A9" s="132" t="s">
        <v>504</v>
      </c>
      <c r="B9" s="133" t="s">
        <v>606</v>
      </c>
      <c r="C9" s="133">
        <v>1</v>
      </c>
      <c r="D9" s="133">
        <v>2</v>
      </c>
      <c r="E9" s="133">
        <v>3</v>
      </c>
      <c r="F9" s="133">
        <v>4</v>
      </c>
      <c r="G9" s="134">
        <v>5</v>
      </c>
      <c r="H9" s="86"/>
      <c r="I9" s="129" t="s">
        <v>600</v>
      </c>
      <c r="J9" s="130" t="s">
        <v>290</v>
      </c>
      <c r="K9" s="130">
        <v>1</v>
      </c>
      <c r="L9" s="130">
        <v>2</v>
      </c>
      <c r="M9" s="130">
        <v>3</v>
      </c>
      <c r="N9" s="130">
        <v>4</v>
      </c>
      <c r="O9" s="131">
        <v>5</v>
      </c>
    </row>
    <row r="10" spans="1:17" ht="19.25" customHeight="1">
      <c r="A10" s="132" t="s">
        <v>504</v>
      </c>
      <c r="B10" s="133" t="s">
        <v>555</v>
      </c>
      <c r="C10" s="133">
        <v>1</v>
      </c>
      <c r="D10" s="133">
        <v>2</v>
      </c>
      <c r="E10" s="133">
        <v>3</v>
      </c>
      <c r="F10" s="133">
        <v>4</v>
      </c>
      <c r="G10" s="134">
        <v>5</v>
      </c>
      <c r="H10" s="86"/>
      <c r="I10" s="129" t="s">
        <v>600</v>
      </c>
      <c r="J10" s="130" t="s">
        <v>607</v>
      </c>
      <c r="K10" s="130">
        <v>1</v>
      </c>
      <c r="L10" s="130">
        <v>2</v>
      </c>
      <c r="M10" s="130">
        <v>3</v>
      </c>
      <c r="N10" s="130">
        <v>4</v>
      </c>
      <c r="O10" s="131">
        <v>5</v>
      </c>
    </row>
    <row r="11" spans="1:17" ht="19.25" customHeight="1">
      <c r="A11" s="132" t="s">
        <v>504</v>
      </c>
      <c r="B11" s="133" t="s">
        <v>608</v>
      </c>
      <c r="C11" s="133">
        <v>1</v>
      </c>
      <c r="D11" s="133">
        <v>2</v>
      </c>
      <c r="E11" s="133">
        <v>3</v>
      </c>
      <c r="F11" s="133">
        <v>4</v>
      </c>
      <c r="G11" s="134">
        <v>5</v>
      </c>
      <c r="H11" s="86"/>
      <c r="I11" s="129" t="s">
        <v>600</v>
      </c>
      <c r="J11" s="130" t="s">
        <v>609</v>
      </c>
      <c r="K11" s="130">
        <v>1</v>
      </c>
      <c r="L11" s="130">
        <v>2</v>
      </c>
      <c r="M11" s="130">
        <v>3</v>
      </c>
      <c r="N11" s="130">
        <v>4</v>
      </c>
      <c r="O11" s="131">
        <v>5</v>
      </c>
    </row>
    <row r="12" spans="1:17" ht="19.25" customHeight="1">
      <c r="A12" s="132" t="s">
        <v>504</v>
      </c>
      <c r="B12" s="133" t="s">
        <v>610</v>
      </c>
      <c r="C12" s="133">
        <v>1</v>
      </c>
      <c r="D12" s="133">
        <v>2</v>
      </c>
      <c r="E12" s="133">
        <v>3</v>
      </c>
      <c r="F12" s="133">
        <v>4</v>
      </c>
      <c r="G12" s="134">
        <v>5</v>
      </c>
      <c r="H12" s="86"/>
      <c r="I12" s="129" t="s">
        <v>600</v>
      </c>
      <c r="J12" s="130" t="s">
        <v>311</v>
      </c>
      <c r="K12" s="130">
        <v>1</v>
      </c>
      <c r="L12" s="130">
        <v>2</v>
      </c>
      <c r="M12" s="130">
        <v>3</v>
      </c>
      <c r="N12" s="130">
        <v>4</v>
      </c>
      <c r="O12" s="131">
        <v>5</v>
      </c>
    </row>
    <row r="13" spans="1:17" ht="19.25" customHeight="1">
      <c r="A13" s="132" t="s">
        <v>504</v>
      </c>
      <c r="B13" s="133" t="s">
        <v>564</v>
      </c>
      <c r="C13" s="133">
        <v>1</v>
      </c>
      <c r="D13" s="133"/>
      <c r="E13" s="133">
        <v>3</v>
      </c>
      <c r="F13" s="135"/>
      <c r="G13" s="134">
        <v>5</v>
      </c>
      <c r="H13" s="86"/>
      <c r="I13" s="136" t="s">
        <v>316</v>
      </c>
      <c r="J13" s="133" t="s">
        <v>611</v>
      </c>
      <c r="K13" s="133">
        <v>1</v>
      </c>
      <c r="L13" s="135"/>
      <c r="M13" s="133">
        <v>3</v>
      </c>
      <c r="N13" s="135"/>
      <c r="O13" s="137"/>
    </row>
    <row r="14" spans="1:17" ht="19.25" customHeight="1">
      <c r="A14" s="136" t="s">
        <v>504</v>
      </c>
      <c r="B14" s="133" t="s">
        <v>536</v>
      </c>
      <c r="C14" s="135"/>
      <c r="D14" s="133">
        <v>2</v>
      </c>
      <c r="E14" s="135"/>
      <c r="F14" s="133">
        <v>4</v>
      </c>
      <c r="G14" s="137"/>
      <c r="H14" s="86"/>
      <c r="I14" s="136" t="s">
        <v>316</v>
      </c>
      <c r="J14" s="133" t="s">
        <v>612</v>
      </c>
      <c r="K14" s="133">
        <v>1</v>
      </c>
      <c r="L14" s="133">
        <v>2</v>
      </c>
      <c r="M14" s="133">
        <v>3</v>
      </c>
      <c r="N14" s="133">
        <v>4</v>
      </c>
      <c r="O14" s="134">
        <v>5</v>
      </c>
    </row>
    <row r="15" spans="1:17" ht="19.25" customHeight="1">
      <c r="A15" s="136" t="s">
        <v>504</v>
      </c>
      <c r="B15" s="133" t="s">
        <v>613</v>
      </c>
      <c r="C15" s="133">
        <v>1</v>
      </c>
      <c r="D15" s="133">
        <v>2</v>
      </c>
      <c r="E15" s="133">
        <v>3</v>
      </c>
      <c r="F15" s="133">
        <v>4</v>
      </c>
      <c r="G15" s="134">
        <v>5</v>
      </c>
      <c r="H15" s="86"/>
      <c r="I15" s="136" t="s">
        <v>316</v>
      </c>
      <c r="J15" s="133" t="s">
        <v>327</v>
      </c>
      <c r="K15" s="133">
        <v>1</v>
      </c>
      <c r="L15" s="133">
        <v>2</v>
      </c>
      <c r="M15" s="133">
        <v>3</v>
      </c>
      <c r="N15" s="133">
        <v>4</v>
      </c>
      <c r="O15" s="134">
        <v>5</v>
      </c>
    </row>
    <row r="16" spans="1:17" ht="19.25" customHeight="1">
      <c r="A16" s="136" t="s">
        <v>504</v>
      </c>
      <c r="B16" s="133" t="s">
        <v>614</v>
      </c>
      <c r="C16" s="133">
        <v>1</v>
      </c>
      <c r="D16" s="133">
        <v>2</v>
      </c>
      <c r="E16" s="133">
        <v>3</v>
      </c>
      <c r="F16" s="133">
        <v>4</v>
      </c>
      <c r="G16" s="134">
        <v>5</v>
      </c>
      <c r="H16" s="86"/>
      <c r="I16" s="129" t="s">
        <v>615</v>
      </c>
      <c r="J16" s="130" t="s">
        <v>616</v>
      </c>
      <c r="K16" s="130">
        <v>1</v>
      </c>
      <c r="L16" s="130">
        <v>2</v>
      </c>
      <c r="M16" s="130">
        <v>3</v>
      </c>
      <c r="N16" s="130">
        <v>4</v>
      </c>
      <c r="O16" s="131">
        <v>5</v>
      </c>
    </row>
    <row r="17" spans="1:20" ht="19.25" customHeight="1">
      <c r="A17" s="136" t="s">
        <v>504</v>
      </c>
      <c r="B17" s="133" t="s">
        <v>617</v>
      </c>
      <c r="C17" s="133">
        <v>1</v>
      </c>
      <c r="D17" s="133">
        <v>2</v>
      </c>
      <c r="E17" s="133">
        <v>3</v>
      </c>
      <c r="F17" s="133">
        <v>4</v>
      </c>
      <c r="G17" s="134">
        <v>5</v>
      </c>
      <c r="H17" s="86"/>
      <c r="I17" s="129" t="s">
        <v>615</v>
      </c>
      <c r="J17" s="130" t="s">
        <v>618</v>
      </c>
      <c r="K17" s="130">
        <v>1</v>
      </c>
      <c r="L17" s="130">
        <v>2</v>
      </c>
      <c r="M17" s="130">
        <v>3</v>
      </c>
      <c r="N17" s="130">
        <v>4</v>
      </c>
      <c r="O17" s="131">
        <v>5</v>
      </c>
    </row>
    <row r="18" spans="1:20" ht="19.25" customHeight="1">
      <c r="A18" s="136" t="s">
        <v>504</v>
      </c>
      <c r="B18" s="133" t="s">
        <v>619</v>
      </c>
      <c r="C18" s="133">
        <v>1</v>
      </c>
      <c r="D18" s="133">
        <v>2</v>
      </c>
      <c r="E18" s="133">
        <v>3</v>
      </c>
      <c r="F18" s="133">
        <v>4</v>
      </c>
      <c r="G18" s="134">
        <v>5</v>
      </c>
      <c r="H18" s="86"/>
      <c r="I18" s="132" t="s">
        <v>341</v>
      </c>
      <c r="J18" s="133" t="s">
        <v>620</v>
      </c>
      <c r="K18" s="133">
        <v>1</v>
      </c>
      <c r="L18" s="133">
        <v>2</v>
      </c>
      <c r="M18" s="133">
        <v>3</v>
      </c>
      <c r="N18" s="133">
        <v>4</v>
      </c>
      <c r="O18" s="134">
        <v>5</v>
      </c>
    </row>
    <row r="19" spans="1:20" ht="19.25" customHeight="1">
      <c r="A19" s="136" t="s">
        <v>504</v>
      </c>
      <c r="B19" s="133" t="s">
        <v>621</v>
      </c>
      <c r="C19" s="133">
        <v>1</v>
      </c>
      <c r="D19" s="133">
        <v>2</v>
      </c>
      <c r="E19" s="133">
        <v>3</v>
      </c>
      <c r="F19" s="133">
        <v>4</v>
      </c>
      <c r="G19" s="134">
        <v>5</v>
      </c>
      <c r="H19" s="86"/>
      <c r="I19" s="132" t="s">
        <v>341</v>
      </c>
      <c r="J19" s="133" t="s">
        <v>622</v>
      </c>
      <c r="K19" s="133">
        <v>1</v>
      </c>
      <c r="L19" s="133">
        <v>2</v>
      </c>
      <c r="M19" s="133">
        <v>3</v>
      </c>
      <c r="N19" s="133">
        <v>4</v>
      </c>
      <c r="O19" s="134">
        <v>5</v>
      </c>
    </row>
    <row r="20" spans="1:20" ht="19.25" customHeight="1">
      <c r="A20" s="136" t="s">
        <v>504</v>
      </c>
      <c r="B20" s="133" t="s">
        <v>522</v>
      </c>
      <c r="C20" s="133">
        <v>1</v>
      </c>
      <c r="D20" s="133">
        <v>2</v>
      </c>
      <c r="E20" s="133">
        <v>3</v>
      </c>
      <c r="F20" s="133">
        <v>4</v>
      </c>
      <c r="G20" s="134">
        <v>5</v>
      </c>
      <c r="H20" s="86"/>
      <c r="I20" s="132" t="s">
        <v>341</v>
      </c>
      <c r="J20" s="133" t="s">
        <v>368</v>
      </c>
      <c r="K20" s="133">
        <v>1</v>
      </c>
      <c r="L20" s="133">
        <v>2</v>
      </c>
      <c r="M20" s="133">
        <v>3</v>
      </c>
      <c r="N20" s="133">
        <v>4</v>
      </c>
      <c r="O20" s="134">
        <v>5</v>
      </c>
      <c r="T20" s="1"/>
    </row>
    <row r="21" spans="1:20" ht="19.25" customHeight="1">
      <c r="A21" s="136" t="s">
        <v>504</v>
      </c>
      <c r="B21" s="133" t="s">
        <v>623</v>
      </c>
      <c r="C21" s="133">
        <v>1</v>
      </c>
      <c r="D21" s="133">
        <v>2</v>
      </c>
      <c r="E21" s="133">
        <v>3</v>
      </c>
      <c r="F21" s="133">
        <v>4</v>
      </c>
      <c r="G21" s="134">
        <v>5</v>
      </c>
      <c r="H21" s="86"/>
      <c r="I21" s="129" t="s">
        <v>624</v>
      </c>
      <c r="J21" s="130" t="s">
        <v>625</v>
      </c>
      <c r="K21" s="130">
        <v>1</v>
      </c>
      <c r="L21" s="130">
        <v>2</v>
      </c>
      <c r="M21" s="130">
        <v>3</v>
      </c>
      <c r="N21" s="130">
        <v>4</v>
      </c>
      <c r="O21" s="131">
        <v>5</v>
      </c>
    </row>
    <row r="22" spans="1:20" ht="19.25" customHeight="1">
      <c r="A22" s="129" t="s">
        <v>626</v>
      </c>
      <c r="B22" s="130" t="s">
        <v>627</v>
      </c>
      <c r="C22" s="130">
        <v>1</v>
      </c>
      <c r="D22" s="130"/>
      <c r="E22" s="130">
        <v>3</v>
      </c>
      <c r="F22" s="138"/>
      <c r="G22" s="139"/>
      <c r="H22" s="86"/>
      <c r="I22" s="129" t="s">
        <v>624</v>
      </c>
      <c r="J22" s="130" t="s">
        <v>625</v>
      </c>
      <c r="K22" s="130">
        <v>1</v>
      </c>
      <c r="L22" s="130">
        <v>2</v>
      </c>
      <c r="M22" s="130">
        <v>3</v>
      </c>
      <c r="N22" s="130">
        <v>4</v>
      </c>
      <c r="O22" s="131">
        <v>5</v>
      </c>
    </row>
    <row r="23" spans="1:20" ht="19.25" customHeight="1">
      <c r="A23" s="129" t="s">
        <v>626</v>
      </c>
      <c r="B23" s="130" t="s">
        <v>628</v>
      </c>
      <c r="C23" s="130">
        <v>1</v>
      </c>
      <c r="D23" s="130">
        <v>2</v>
      </c>
      <c r="E23" s="130">
        <v>3</v>
      </c>
      <c r="F23" s="130">
        <v>4</v>
      </c>
      <c r="G23" s="131">
        <v>5</v>
      </c>
      <c r="H23" s="88"/>
      <c r="I23" s="129" t="s">
        <v>624</v>
      </c>
      <c r="J23" s="130" t="s">
        <v>383</v>
      </c>
      <c r="K23" s="130">
        <v>1</v>
      </c>
      <c r="L23" s="130">
        <v>2</v>
      </c>
      <c r="M23" s="130">
        <v>3</v>
      </c>
      <c r="N23" s="130">
        <v>4</v>
      </c>
      <c r="O23" s="131">
        <v>5</v>
      </c>
    </row>
    <row r="24" spans="1:20" ht="19.25" customHeight="1">
      <c r="A24" s="129" t="s">
        <v>626</v>
      </c>
      <c r="B24" s="130" t="s">
        <v>160</v>
      </c>
      <c r="C24" s="130">
        <v>1</v>
      </c>
      <c r="D24" s="138"/>
      <c r="E24" s="138"/>
      <c r="F24" s="138"/>
      <c r="G24" s="139"/>
      <c r="H24" s="88"/>
      <c r="I24" s="132" t="s">
        <v>481</v>
      </c>
      <c r="J24" s="133" t="s">
        <v>629</v>
      </c>
      <c r="K24" s="133">
        <v>1</v>
      </c>
      <c r="L24" s="135"/>
      <c r="M24" s="133">
        <v>3</v>
      </c>
      <c r="N24" s="135"/>
      <c r="O24" s="137"/>
    </row>
    <row r="25" spans="1:20" ht="19.25" customHeight="1">
      <c r="A25" s="129" t="s">
        <v>626</v>
      </c>
      <c r="B25" s="130" t="s">
        <v>155</v>
      </c>
      <c r="C25" s="130">
        <v>1</v>
      </c>
      <c r="D25" s="138"/>
      <c r="E25" s="138"/>
      <c r="F25" s="138"/>
      <c r="G25" s="139"/>
      <c r="H25" s="88"/>
      <c r="I25" s="132" t="s">
        <v>481</v>
      </c>
      <c r="J25" s="133" t="s">
        <v>495</v>
      </c>
      <c r="K25" s="133">
        <v>1</v>
      </c>
      <c r="L25" s="135"/>
      <c r="M25" s="133">
        <v>3</v>
      </c>
      <c r="N25" s="135"/>
      <c r="O25" s="137"/>
    </row>
    <row r="26" spans="1:20" ht="19.25" customHeight="1">
      <c r="A26" s="129" t="s">
        <v>626</v>
      </c>
      <c r="B26" s="130" t="s">
        <v>167</v>
      </c>
      <c r="C26" s="130">
        <v>1</v>
      </c>
      <c r="D26" s="130">
        <v>2</v>
      </c>
      <c r="E26" s="130">
        <v>3</v>
      </c>
      <c r="F26" s="130">
        <v>4</v>
      </c>
      <c r="G26" s="131">
        <v>5</v>
      </c>
      <c r="H26" s="88"/>
      <c r="I26" s="132" t="s">
        <v>481</v>
      </c>
      <c r="J26" s="133" t="s">
        <v>486</v>
      </c>
      <c r="K26" s="133">
        <v>1</v>
      </c>
      <c r="L26" s="133">
        <v>2</v>
      </c>
      <c r="M26" s="133">
        <v>3</v>
      </c>
      <c r="N26" s="133">
        <v>4</v>
      </c>
      <c r="O26" s="134">
        <v>5</v>
      </c>
    </row>
    <row r="27" spans="1:20" ht="19.25" customHeight="1">
      <c r="A27" s="129" t="s">
        <v>626</v>
      </c>
      <c r="B27" s="130" t="s">
        <v>181</v>
      </c>
      <c r="C27" s="130">
        <v>1</v>
      </c>
      <c r="D27" s="130">
        <v>2</v>
      </c>
      <c r="E27" s="130">
        <v>3</v>
      </c>
      <c r="F27" s="130">
        <v>4</v>
      </c>
      <c r="G27" s="131">
        <v>5</v>
      </c>
      <c r="H27" s="88"/>
      <c r="I27" s="132" t="s">
        <v>481</v>
      </c>
      <c r="J27" s="133" t="s">
        <v>493</v>
      </c>
      <c r="K27" s="133">
        <v>1</v>
      </c>
      <c r="L27" s="133">
        <v>2</v>
      </c>
      <c r="M27" s="133">
        <v>3</v>
      </c>
      <c r="N27" s="133">
        <v>4</v>
      </c>
      <c r="O27" s="134">
        <v>5</v>
      </c>
    </row>
    <row r="28" spans="1:20" ht="19.25" customHeight="1">
      <c r="A28" s="129" t="s">
        <v>626</v>
      </c>
      <c r="B28" s="130" t="s">
        <v>183</v>
      </c>
      <c r="C28" s="130">
        <v>1</v>
      </c>
      <c r="D28" s="130">
        <v>2</v>
      </c>
      <c r="E28" s="130">
        <v>3</v>
      </c>
      <c r="F28" s="130">
        <v>4</v>
      </c>
      <c r="G28" s="131">
        <v>5</v>
      </c>
      <c r="H28" s="88"/>
      <c r="I28" s="132" t="s">
        <v>481</v>
      </c>
      <c r="J28" s="133" t="s">
        <v>491</v>
      </c>
      <c r="K28" s="133">
        <v>1</v>
      </c>
      <c r="L28" s="133">
        <v>2</v>
      </c>
      <c r="M28" s="133">
        <v>3</v>
      </c>
      <c r="N28" s="133">
        <v>4</v>
      </c>
      <c r="O28" s="134">
        <v>5</v>
      </c>
    </row>
    <row r="29" spans="1:20" ht="19.25" customHeight="1">
      <c r="A29" s="136" t="s">
        <v>224</v>
      </c>
      <c r="B29" s="133" t="s">
        <v>630</v>
      </c>
      <c r="C29" s="133">
        <v>1</v>
      </c>
      <c r="D29" s="133">
        <v>2</v>
      </c>
      <c r="E29" s="133">
        <v>3</v>
      </c>
      <c r="F29" s="133">
        <v>4</v>
      </c>
      <c r="G29" s="134">
        <v>5</v>
      </c>
      <c r="H29" s="88"/>
      <c r="I29" s="132" t="s">
        <v>481</v>
      </c>
      <c r="J29" s="133" t="s">
        <v>490</v>
      </c>
      <c r="K29" s="133">
        <v>1</v>
      </c>
      <c r="L29" s="133">
        <v>2</v>
      </c>
      <c r="M29" s="133">
        <v>3</v>
      </c>
      <c r="N29" s="133">
        <v>4</v>
      </c>
      <c r="O29" s="134">
        <v>5</v>
      </c>
    </row>
    <row r="30" spans="1:20" ht="19.25" customHeight="1">
      <c r="A30" s="136" t="s">
        <v>224</v>
      </c>
      <c r="B30" s="133" t="s">
        <v>252</v>
      </c>
      <c r="C30" s="133">
        <v>1</v>
      </c>
      <c r="D30" s="133">
        <v>2</v>
      </c>
      <c r="E30" s="133">
        <v>3</v>
      </c>
      <c r="F30" s="133">
        <v>4</v>
      </c>
      <c r="G30" s="134">
        <v>5</v>
      </c>
      <c r="H30" s="86"/>
      <c r="I30" s="129" t="s">
        <v>459</v>
      </c>
      <c r="J30" s="130" t="s">
        <v>477</v>
      </c>
      <c r="K30" s="130">
        <v>1</v>
      </c>
      <c r="L30" s="130">
        <v>2</v>
      </c>
      <c r="M30" s="130">
        <v>3</v>
      </c>
      <c r="N30" s="130">
        <v>4</v>
      </c>
      <c r="O30" s="131">
        <v>5</v>
      </c>
      <c r="Q30" s="89"/>
    </row>
    <row r="31" spans="1:20" ht="19.25" customHeight="1">
      <c r="A31" s="136" t="s">
        <v>224</v>
      </c>
      <c r="B31" s="133" t="s">
        <v>631</v>
      </c>
      <c r="C31" s="133">
        <v>1</v>
      </c>
      <c r="D31" s="133">
        <v>2</v>
      </c>
      <c r="E31" s="133">
        <v>3</v>
      </c>
      <c r="F31" s="133">
        <v>4</v>
      </c>
      <c r="G31" s="134">
        <v>5</v>
      </c>
      <c r="H31" s="86"/>
      <c r="I31" s="129" t="s">
        <v>459</v>
      </c>
      <c r="J31" s="130" t="s">
        <v>632</v>
      </c>
      <c r="K31" s="130">
        <v>1</v>
      </c>
      <c r="L31" s="130">
        <v>2</v>
      </c>
      <c r="M31" s="130">
        <v>3</v>
      </c>
      <c r="N31" s="130">
        <v>4</v>
      </c>
      <c r="O31" s="131">
        <v>5</v>
      </c>
    </row>
    <row r="32" spans="1:20" ht="19.25" customHeight="1">
      <c r="A32" s="136" t="s">
        <v>224</v>
      </c>
      <c r="B32" s="133" t="s">
        <v>221</v>
      </c>
      <c r="C32" s="133">
        <v>1</v>
      </c>
      <c r="D32" s="133">
        <v>2</v>
      </c>
      <c r="E32" s="133">
        <v>3</v>
      </c>
      <c r="F32" s="133">
        <v>4</v>
      </c>
      <c r="G32" s="134">
        <v>5</v>
      </c>
      <c r="H32" s="86"/>
      <c r="I32" s="129" t="s">
        <v>459</v>
      </c>
      <c r="J32" s="130" t="s">
        <v>467</v>
      </c>
      <c r="K32" s="130">
        <v>1</v>
      </c>
      <c r="L32" s="130">
        <v>2</v>
      </c>
      <c r="M32" s="130">
        <v>3</v>
      </c>
      <c r="N32" s="130">
        <v>4</v>
      </c>
      <c r="O32" s="131">
        <v>5</v>
      </c>
    </row>
    <row r="33" spans="1:15" ht="19.25" customHeight="1">
      <c r="A33" s="136" t="s">
        <v>224</v>
      </c>
      <c r="B33" s="133" t="s">
        <v>223</v>
      </c>
      <c r="C33" s="133">
        <v>1</v>
      </c>
      <c r="D33" s="133">
        <v>2</v>
      </c>
      <c r="E33" s="133">
        <v>3</v>
      </c>
      <c r="F33" s="133">
        <v>4</v>
      </c>
      <c r="G33" s="134">
        <v>5</v>
      </c>
      <c r="H33" s="86"/>
      <c r="I33" s="129" t="s">
        <v>459</v>
      </c>
      <c r="J33" s="130" t="s">
        <v>633</v>
      </c>
      <c r="K33" s="130">
        <v>1</v>
      </c>
      <c r="L33" s="130">
        <v>2</v>
      </c>
      <c r="M33" s="130">
        <v>3</v>
      </c>
      <c r="N33" s="130">
        <v>4</v>
      </c>
      <c r="O33" s="131">
        <v>5</v>
      </c>
    </row>
    <row r="34" spans="1:15" ht="19.25" customHeight="1">
      <c r="A34" s="136" t="s">
        <v>224</v>
      </c>
      <c r="B34" s="133" t="s">
        <v>634</v>
      </c>
      <c r="C34" s="133">
        <v>1</v>
      </c>
      <c r="D34" s="133">
        <v>2</v>
      </c>
      <c r="E34" s="133">
        <v>3</v>
      </c>
      <c r="F34" s="133">
        <v>4</v>
      </c>
      <c r="G34" s="134">
        <v>5</v>
      </c>
      <c r="H34" s="86"/>
      <c r="I34" s="132" t="s">
        <v>447</v>
      </c>
      <c r="J34" s="133" t="s">
        <v>635</v>
      </c>
      <c r="K34" s="133">
        <v>1</v>
      </c>
      <c r="L34" s="133">
        <v>2</v>
      </c>
      <c r="M34" s="133">
        <v>3</v>
      </c>
      <c r="N34" s="133">
        <v>4</v>
      </c>
      <c r="O34" s="134">
        <v>5</v>
      </c>
    </row>
    <row r="35" spans="1:15" ht="19.25" customHeight="1">
      <c r="A35" s="140" t="s">
        <v>224</v>
      </c>
      <c r="B35" s="141" t="s">
        <v>636</v>
      </c>
      <c r="C35" s="141">
        <v>1</v>
      </c>
      <c r="D35" s="141">
        <v>2</v>
      </c>
      <c r="E35" s="141">
        <v>3</v>
      </c>
      <c r="F35" s="141">
        <v>4</v>
      </c>
      <c r="G35" s="142">
        <v>5</v>
      </c>
      <c r="H35" s="86"/>
      <c r="I35" s="143"/>
      <c r="J35" s="141"/>
      <c r="K35" s="144"/>
      <c r="L35" s="144"/>
      <c r="M35" s="144"/>
      <c r="N35" s="144"/>
      <c r="O35" s="145"/>
    </row>
    <row r="36" spans="1:15" ht="19.25" customHeight="1">
      <c r="H36" s="86"/>
      <c r="I36" s="90"/>
      <c r="J36" s="91"/>
      <c r="K36" s="86"/>
      <c r="L36" s="86"/>
      <c r="M36" s="86"/>
      <c r="N36" s="86"/>
      <c r="O36" s="86"/>
    </row>
    <row r="37" spans="1:15" ht="19.25" customHeight="1">
      <c r="A37" s="92"/>
      <c r="B37" s="147"/>
      <c r="H37" s="86"/>
      <c r="I37" s="76"/>
      <c r="J37" s="1"/>
    </row>
    <row r="38" spans="1:15" ht="19.25" customHeight="1">
      <c r="A38" s="92"/>
      <c r="B38" s="147"/>
      <c r="H38" s="86"/>
      <c r="I38" s="76"/>
      <c r="J38" s="1"/>
    </row>
    <row r="39" spans="1:15" ht="19.25" customHeight="1">
      <c r="A39" s="92"/>
      <c r="B39" s="147"/>
      <c r="H39" s="86"/>
      <c r="I39" s="76"/>
      <c r="J39" s="1"/>
    </row>
    <row r="40" spans="1:15">
      <c r="A40" s="92"/>
      <c r="B40" s="147"/>
      <c r="I40" s="76"/>
      <c r="J40" s="1"/>
    </row>
  </sheetData>
  <mergeCells count="1">
    <mergeCell ref="A1:O1"/>
  </mergeCells>
  <phoneticPr fontId="1"/>
  <printOptions horizontalCentered="1" verticalCentered="1"/>
  <pageMargins left="0.70866141732283472" right="0.70866141732283472" top="0.74803149606299213" bottom="0.74803149606299213" header="0.31496062992125978" footer="0.31496062992125978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AM48"/>
  <sheetViews>
    <sheetView showGridLines="0" topLeftCell="C1" zoomScale="77" zoomScaleNormal="77" zoomScaleSheetLayoutView="98" zoomScalePageLayoutView="99" workbookViewId="0">
      <selection activeCell="U36" sqref="U36"/>
    </sheetView>
  </sheetViews>
  <sheetFormatPr baseColWidth="10" defaultColWidth="8.6640625" defaultRowHeight="18"/>
  <cols>
    <col min="1" max="1" width="3.1640625" style="2" customWidth="1"/>
    <col min="2" max="2" width="8.1640625" style="2" customWidth="1"/>
    <col min="3" max="3" width="20.6640625" style="4" customWidth="1"/>
    <col min="4" max="9" width="4.5" style="4" customWidth="1"/>
    <col min="10" max="10" width="3.1640625" style="4" customWidth="1"/>
    <col min="11" max="11" width="3.1640625" style="2" customWidth="1"/>
    <col min="12" max="12" width="8.1640625" style="2" customWidth="1"/>
    <col min="13" max="13" width="20.6640625" style="4" customWidth="1"/>
    <col min="14" max="14" width="4.1640625" style="4" customWidth="1"/>
    <col min="15" max="19" width="4.5" style="4" customWidth="1"/>
    <col min="21" max="21" width="3.1640625" style="227" customWidth="1"/>
    <col min="22" max="22" width="8.1640625" style="227" customWidth="1"/>
    <col min="23" max="23" width="20.6640625" style="227" customWidth="1"/>
    <col min="24" max="29" width="4.5" style="227" customWidth="1"/>
    <col min="30" max="31" width="3.1640625" style="227" customWidth="1"/>
    <col min="32" max="32" width="8.1640625" style="227" customWidth="1"/>
    <col min="33" max="33" width="20.6640625" style="227" customWidth="1"/>
    <col min="34" max="34" width="4.1640625" style="227" customWidth="1"/>
    <col min="35" max="39" width="4.5" style="227" customWidth="1"/>
  </cols>
  <sheetData>
    <row r="1" spans="1:39" s="1" customFormat="1" ht="24.75" customHeight="1">
      <c r="A1" s="13"/>
      <c r="B1" s="13" t="s">
        <v>0</v>
      </c>
      <c r="C1" s="13" t="s">
        <v>637</v>
      </c>
      <c r="D1" s="13"/>
      <c r="E1" s="13" t="s">
        <v>638</v>
      </c>
      <c r="F1" s="13" t="s">
        <v>639</v>
      </c>
      <c r="G1" s="13" t="s">
        <v>640</v>
      </c>
      <c r="H1" s="13" t="s">
        <v>641</v>
      </c>
      <c r="I1" s="13" t="s">
        <v>642</v>
      </c>
      <c r="J1" s="12"/>
      <c r="K1" s="13"/>
      <c r="L1" s="13" t="s">
        <v>0</v>
      </c>
      <c r="M1" s="13" t="s">
        <v>637</v>
      </c>
      <c r="N1" s="13"/>
      <c r="O1" s="13" t="s">
        <v>638</v>
      </c>
      <c r="P1" s="13" t="s">
        <v>639</v>
      </c>
      <c r="Q1" s="13" t="s">
        <v>640</v>
      </c>
      <c r="R1" s="13" t="s">
        <v>641</v>
      </c>
      <c r="S1" s="13" t="s">
        <v>642</v>
      </c>
      <c r="U1" s="13"/>
      <c r="V1" s="13" t="s">
        <v>0</v>
      </c>
      <c r="W1" s="13" t="s">
        <v>637</v>
      </c>
      <c r="X1" s="13"/>
      <c r="Y1" s="13" t="s">
        <v>638</v>
      </c>
      <c r="Z1" s="13" t="s">
        <v>639</v>
      </c>
      <c r="AA1" s="13" t="s">
        <v>640</v>
      </c>
      <c r="AB1" s="13" t="s">
        <v>641</v>
      </c>
      <c r="AC1" s="13" t="s">
        <v>642</v>
      </c>
      <c r="AE1" s="13"/>
      <c r="AF1" s="13" t="s">
        <v>0</v>
      </c>
      <c r="AG1" s="13" t="s">
        <v>637</v>
      </c>
      <c r="AH1" s="13"/>
      <c r="AI1" s="13" t="s">
        <v>638</v>
      </c>
      <c r="AJ1" s="13" t="s">
        <v>639</v>
      </c>
      <c r="AK1" s="13" t="s">
        <v>640</v>
      </c>
      <c r="AL1" s="13" t="s">
        <v>641</v>
      </c>
      <c r="AM1" s="13" t="s">
        <v>642</v>
      </c>
    </row>
    <row r="2" spans="1:39" ht="24.75" customHeight="1">
      <c r="A2" s="7">
        <v>1</v>
      </c>
      <c r="B2" s="14" t="s">
        <v>394</v>
      </c>
      <c r="C2" s="15" t="s">
        <v>643</v>
      </c>
      <c r="D2" s="15"/>
      <c r="E2" s="15">
        <v>1</v>
      </c>
      <c r="F2" s="15">
        <v>2</v>
      </c>
      <c r="G2" s="15">
        <v>3</v>
      </c>
      <c r="H2" s="15">
        <v>4</v>
      </c>
      <c r="I2" s="15">
        <v>5</v>
      </c>
      <c r="K2" s="7">
        <v>34</v>
      </c>
      <c r="L2" s="16" t="s">
        <v>224</v>
      </c>
      <c r="M2" s="9" t="s">
        <v>644</v>
      </c>
      <c r="N2" s="9" t="s">
        <v>645</v>
      </c>
      <c r="O2" s="9">
        <v>1</v>
      </c>
      <c r="P2" s="9">
        <v>2</v>
      </c>
      <c r="Q2" s="9">
        <v>3</v>
      </c>
      <c r="R2" s="9">
        <v>4</v>
      </c>
      <c r="S2" s="9">
        <v>5</v>
      </c>
      <c r="U2" s="7">
        <v>1</v>
      </c>
      <c r="V2" s="14" t="s">
        <v>394</v>
      </c>
      <c r="W2" s="15" t="s">
        <v>643</v>
      </c>
      <c r="X2" s="15"/>
      <c r="Y2" s="15">
        <v>1</v>
      </c>
      <c r="Z2" s="15">
        <v>2</v>
      </c>
      <c r="AA2" s="15">
        <v>3</v>
      </c>
      <c r="AB2" s="15">
        <v>4</v>
      </c>
      <c r="AC2" s="15">
        <v>5</v>
      </c>
      <c r="AE2" s="7">
        <v>34</v>
      </c>
      <c r="AF2" s="16" t="s">
        <v>266</v>
      </c>
      <c r="AG2" s="9" t="s">
        <v>279</v>
      </c>
      <c r="AH2" s="9"/>
      <c r="AI2" s="9">
        <v>1</v>
      </c>
      <c r="AJ2" s="9">
        <v>2</v>
      </c>
      <c r="AK2" s="9">
        <v>3</v>
      </c>
      <c r="AL2" s="9">
        <v>4</v>
      </c>
      <c r="AM2" s="9">
        <v>5</v>
      </c>
    </row>
    <row r="3" spans="1:39" ht="24.75" customHeight="1">
      <c r="A3" s="7">
        <v>2</v>
      </c>
      <c r="B3" s="14" t="s">
        <v>394</v>
      </c>
      <c r="C3" s="15" t="s">
        <v>646</v>
      </c>
      <c r="D3" s="15" t="s">
        <v>104</v>
      </c>
      <c r="E3" s="15">
        <v>1</v>
      </c>
      <c r="F3" s="15">
        <v>2</v>
      </c>
      <c r="G3" s="15">
        <v>3</v>
      </c>
      <c r="H3" s="15">
        <v>4</v>
      </c>
      <c r="I3" s="15">
        <v>5</v>
      </c>
      <c r="K3" s="7">
        <v>35</v>
      </c>
      <c r="L3" s="16" t="s">
        <v>224</v>
      </c>
      <c r="M3" s="9" t="s">
        <v>216</v>
      </c>
      <c r="N3" s="9"/>
      <c r="O3" s="9">
        <v>1</v>
      </c>
      <c r="P3" s="9">
        <v>2</v>
      </c>
      <c r="Q3" s="9">
        <v>3</v>
      </c>
      <c r="R3" s="9">
        <v>4</v>
      </c>
      <c r="S3" s="9">
        <v>5</v>
      </c>
      <c r="U3" s="7">
        <v>2</v>
      </c>
      <c r="V3" s="14" t="s">
        <v>394</v>
      </c>
      <c r="W3" s="15" t="s">
        <v>646</v>
      </c>
      <c r="X3" s="15" t="s">
        <v>104</v>
      </c>
      <c r="Y3" s="15">
        <v>1</v>
      </c>
      <c r="Z3" s="15">
        <v>2</v>
      </c>
      <c r="AA3" s="15">
        <v>3</v>
      </c>
      <c r="AB3" s="15">
        <v>4</v>
      </c>
      <c r="AC3" s="15">
        <v>5</v>
      </c>
      <c r="AE3" s="7">
        <v>35</v>
      </c>
      <c r="AF3" s="16" t="s">
        <v>266</v>
      </c>
      <c r="AG3" s="9" t="s">
        <v>281</v>
      </c>
      <c r="AH3" s="9"/>
      <c r="AI3" s="9">
        <v>1</v>
      </c>
      <c r="AJ3" s="9">
        <v>2</v>
      </c>
      <c r="AK3" s="9">
        <v>3</v>
      </c>
      <c r="AL3" s="9">
        <v>4</v>
      </c>
      <c r="AM3" s="9">
        <v>5</v>
      </c>
    </row>
    <row r="4" spans="1:39" ht="24.75" customHeight="1">
      <c r="A4" s="7">
        <v>3</v>
      </c>
      <c r="B4" s="14" t="s">
        <v>409</v>
      </c>
      <c r="C4" s="15" t="s">
        <v>647</v>
      </c>
      <c r="D4" s="15"/>
      <c r="E4" s="15">
        <v>1</v>
      </c>
      <c r="F4" s="15">
        <v>2</v>
      </c>
      <c r="G4" s="15">
        <v>3</v>
      </c>
      <c r="H4" s="15">
        <v>4</v>
      </c>
      <c r="I4" s="15">
        <v>5</v>
      </c>
      <c r="K4" s="7">
        <v>36</v>
      </c>
      <c r="L4" s="16" t="s">
        <v>224</v>
      </c>
      <c r="M4" s="9" t="s">
        <v>221</v>
      </c>
      <c r="N4" s="9"/>
      <c r="O4" s="9">
        <v>1</v>
      </c>
      <c r="P4" s="9">
        <v>2</v>
      </c>
      <c r="Q4" s="9">
        <v>3</v>
      </c>
      <c r="R4" s="9">
        <v>4</v>
      </c>
      <c r="S4" s="9">
        <v>5</v>
      </c>
      <c r="U4" s="7">
        <v>3</v>
      </c>
      <c r="V4" s="14" t="s">
        <v>409</v>
      </c>
      <c r="W4" s="15" t="s">
        <v>647</v>
      </c>
      <c r="X4" s="15"/>
      <c r="Y4" s="15">
        <v>1</v>
      </c>
      <c r="Z4" s="15">
        <v>2</v>
      </c>
      <c r="AA4" s="15">
        <v>3</v>
      </c>
      <c r="AB4" s="15">
        <v>4</v>
      </c>
      <c r="AC4" s="15">
        <v>5</v>
      </c>
      <c r="AE4" s="7">
        <v>36</v>
      </c>
      <c r="AF4" s="16" t="s">
        <v>266</v>
      </c>
      <c r="AG4" s="9" t="s">
        <v>290</v>
      </c>
      <c r="AH4" s="9"/>
      <c r="AI4" s="9">
        <v>1</v>
      </c>
      <c r="AJ4" s="9">
        <v>2</v>
      </c>
      <c r="AK4" s="9">
        <v>3</v>
      </c>
      <c r="AL4" s="9">
        <v>4</v>
      </c>
      <c r="AM4" s="9">
        <v>5</v>
      </c>
    </row>
    <row r="5" spans="1:39" ht="24.75" customHeight="1">
      <c r="A5" s="7">
        <v>4</v>
      </c>
      <c r="B5" s="14" t="s">
        <v>409</v>
      </c>
      <c r="C5" s="15" t="s">
        <v>414</v>
      </c>
      <c r="D5" s="15"/>
      <c r="E5" s="15">
        <v>1</v>
      </c>
      <c r="F5" s="15">
        <v>2</v>
      </c>
      <c r="G5" s="15">
        <v>3</v>
      </c>
      <c r="H5" s="15">
        <v>4</v>
      </c>
      <c r="I5" s="15">
        <v>5</v>
      </c>
      <c r="K5" s="7">
        <v>37</v>
      </c>
      <c r="L5" s="16" t="s">
        <v>224</v>
      </c>
      <c r="M5" s="9" t="s">
        <v>212</v>
      </c>
      <c r="N5" s="9"/>
      <c r="O5" s="9">
        <v>1</v>
      </c>
      <c r="P5" s="9">
        <v>2</v>
      </c>
      <c r="Q5" s="9">
        <v>3</v>
      </c>
      <c r="R5" s="9">
        <v>4</v>
      </c>
      <c r="S5" s="9">
        <v>5</v>
      </c>
      <c r="U5" s="7">
        <v>4</v>
      </c>
      <c r="V5" s="14" t="s">
        <v>409</v>
      </c>
      <c r="W5" s="15" t="s">
        <v>414</v>
      </c>
      <c r="X5" s="15"/>
      <c r="Y5" s="15">
        <v>1</v>
      </c>
      <c r="Z5" s="15">
        <v>2</v>
      </c>
      <c r="AA5" s="15">
        <v>3</v>
      </c>
      <c r="AB5" s="15">
        <v>4</v>
      </c>
      <c r="AC5" s="15">
        <v>5</v>
      </c>
      <c r="AE5" s="7">
        <v>37</v>
      </c>
      <c r="AF5" s="16" t="s">
        <v>266</v>
      </c>
      <c r="AG5" s="9" t="s">
        <v>296</v>
      </c>
      <c r="AH5" s="9"/>
      <c r="AI5" s="9">
        <v>1</v>
      </c>
      <c r="AJ5" s="9">
        <v>2</v>
      </c>
      <c r="AK5" s="9">
        <v>3</v>
      </c>
      <c r="AL5" s="9">
        <v>4</v>
      </c>
      <c r="AM5" s="9">
        <v>5</v>
      </c>
    </row>
    <row r="6" spans="1:39" ht="24.75" customHeight="1">
      <c r="A6" s="7">
        <v>5</v>
      </c>
      <c r="B6" s="16" t="s">
        <v>25</v>
      </c>
      <c r="C6" s="9" t="s">
        <v>35</v>
      </c>
      <c r="D6" s="9"/>
      <c r="E6" s="9"/>
      <c r="F6" s="9"/>
      <c r="G6" s="9"/>
      <c r="H6" s="9">
        <v>4</v>
      </c>
      <c r="I6" s="9"/>
      <c r="K6" s="7">
        <v>38</v>
      </c>
      <c r="L6" s="7" t="s">
        <v>224</v>
      </c>
      <c r="M6" s="8" t="s">
        <v>630</v>
      </c>
      <c r="N6" s="8"/>
      <c r="O6" s="8">
        <v>1</v>
      </c>
      <c r="P6" s="8">
        <v>2</v>
      </c>
      <c r="Q6" s="8">
        <v>3</v>
      </c>
      <c r="R6" s="8">
        <v>4</v>
      </c>
      <c r="S6" s="8">
        <v>5</v>
      </c>
      <c r="U6" s="7">
        <v>5</v>
      </c>
      <c r="V6" s="16" t="s">
        <v>25</v>
      </c>
      <c r="W6" s="9" t="s">
        <v>35</v>
      </c>
      <c r="X6" s="9"/>
      <c r="Y6" s="9"/>
      <c r="Z6" s="9"/>
      <c r="AA6" s="9"/>
      <c r="AB6" s="9">
        <v>4</v>
      </c>
      <c r="AC6" s="9"/>
      <c r="AE6" s="7">
        <v>38</v>
      </c>
      <c r="AF6" s="16" t="s">
        <v>266</v>
      </c>
      <c r="AG6" s="9" t="s">
        <v>648</v>
      </c>
      <c r="AH6" s="9" t="s">
        <v>645</v>
      </c>
      <c r="AI6" s="9">
        <v>1</v>
      </c>
      <c r="AJ6" s="9">
        <v>2</v>
      </c>
      <c r="AK6" s="9">
        <v>3</v>
      </c>
      <c r="AL6" s="9">
        <v>4</v>
      </c>
      <c r="AM6" s="9">
        <v>5</v>
      </c>
    </row>
    <row r="7" spans="1:39" ht="24.75" customHeight="1">
      <c r="A7" s="7">
        <v>6</v>
      </c>
      <c r="B7" s="16" t="s">
        <v>25</v>
      </c>
      <c r="C7" s="9" t="s">
        <v>45</v>
      </c>
      <c r="D7" s="9"/>
      <c r="E7" s="9">
        <v>1</v>
      </c>
      <c r="F7" s="9">
        <v>2</v>
      </c>
      <c r="G7" s="9">
        <v>3</v>
      </c>
      <c r="H7" s="9">
        <v>4</v>
      </c>
      <c r="I7" s="9">
        <v>5</v>
      </c>
      <c r="K7" s="7">
        <v>39</v>
      </c>
      <c r="L7" s="7" t="s">
        <v>224</v>
      </c>
      <c r="M7" s="8" t="s">
        <v>649</v>
      </c>
      <c r="N7" s="8"/>
      <c r="O7" s="8">
        <v>1</v>
      </c>
      <c r="P7" s="8">
        <v>2</v>
      </c>
      <c r="Q7" s="8">
        <v>3</v>
      </c>
      <c r="R7" s="8">
        <v>4</v>
      </c>
      <c r="S7" s="8">
        <v>5</v>
      </c>
      <c r="U7" s="7">
        <v>6</v>
      </c>
      <c r="V7" s="16" t="s">
        <v>25</v>
      </c>
      <c r="W7" s="9" t="s">
        <v>45</v>
      </c>
      <c r="X7" s="9"/>
      <c r="Y7" s="9">
        <v>1</v>
      </c>
      <c r="Z7" s="9">
        <v>2</v>
      </c>
      <c r="AA7" s="9">
        <v>3</v>
      </c>
      <c r="AB7" s="9">
        <v>4</v>
      </c>
      <c r="AC7" s="9">
        <v>5</v>
      </c>
      <c r="AE7" s="7">
        <v>39</v>
      </c>
      <c r="AF7" s="17" t="s">
        <v>316</v>
      </c>
      <c r="AG7" s="10" t="s">
        <v>650</v>
      </c>
      <c r="AH7" s="10"/>
      <c r="AI7" s="10">
        <v>1</v>
      </c>
      <c r="AJ7" s="10">
        <v>2</v>
      </c>
      <c r="AK7" s="10">
        <v>3</v>
      </c>
      <c r="AL7" s="10">
        <v>4</v>
      </c>
      <c r="AM7" s="10">
        <v>5</v>
      </c>
    </row>
    <row r="8" spans="1:39" ht="24.75" customHeight="1">
      <c r="A8" s="7">
        <v>7</v>
      </c>
      <c r="B8" s="16" t="s">
        <v>25</v>
      </c>
      <c r="C8" s="9" t="s">
        <v>651</v>
      </c>
      <c r="D8" s="9" t="s">
        <v>645</v>
      </c>
      <c r="E8" s="9">
        <v>1</v>
      </c>
      <c r="F8" s="9">
        <v>2</v>
      </c>
      <c r="G8" s="9">
        <v>3</v>
      </c>
      <c r="H8" s="9">
        <v>4</v>
      </c>
      <c r="I8" s="9">
        <v>5</v>
      </c>
      <c r="K8" s="7">
        <v>40</v>
      </c>
      <c r="L8" s="7" t="s">
        <v>224</v>
      </c>
      <c r="M8" s="8" t="s">
        <v>652</v>
      </c>
      <c r="N8" s="8" t="s">
        <v>645</v>
      </c>
      <c r="O8" s="8">
        <v>1</v>
      </c>
      <c r="P8" s="8">
        <v>2</v>
      </c>
      <c r="Q8" s="8">
        <v>3</v>
      </c>
      <c r="R8" s="8">
        <v>4</v>
      </c>
      <c r="S8" s="8">
        <v>5</v>
      </c>
      <c r="U8" s="7">
        <v>7</v>
      </c>
      <c r="V8" s="16" t="s">
        <v>25</v>
      </c>
      <c r="W8" s="9" t="s">
        <v>651</v>
      </c>
      <c r="X8" s="9" t="s">
        <v>645</v>
      </c>
      <c r="Y8" s="9">
        <v>1</v>
      </c>
      <c r="Z8" s="9">
        <v>2</v>
      </c>
      <c r="AA8" s="9">
        <v>3</v>
      </c>
      <c r="AB8" s="9">
        <v>4</v>
      </c>
      <c r="AC8" s="9">
        <v>5</v>
      </c>
      <c r="AE8" s="7">
        <v>40</v>
      </c>
      <c r="AF8" s="16" t="s">
        <v>316</v>
      </c>
      <c r="AG8" s="9" t="s">
        <v>317</v>
      </c>
      <c r="AH8" s="9"/>
      <c r="AI8" s="9">
        <v>1</v>
      </c>
      <c r="AJ8" s="9"/>
      <c r="AK8" s="9">
        <v>3</v>
      </c>
      <c r="AL8" s="9"/>
      <c r="AM8" s="9"/>
    </row>
    <row r="9" spans="1:39" ht="24.75" customHeight="1">
      <c r="A9" s="7">
        <v>8</v>
      </c>
      <c r="B9" s="16" t="s">
        <v>25</v>
      </c>
      <c r="C9" s="9" t="s">
        <v>653</v>
      </c>
      <c r="D9" s="9" t="s">
        <v>645</v>
      </c>
      <c r="E9" s="9">
        <v>1</v>
      </c>
      <c r="F9" s="9">
        <v>2</v>
      </c>
      <c r="G9" s="9">
        <v>3</v>
      </c>
      <c r="H9" s="9">
        <v>4</v>
      </c>
      <c r="I9" s="9">
        <v>5</v>
      </c>
      <c r="K9" s="7">
        <v>41</v>
      </c>
      <c r="L9" s="7" t="s">
        <v>224</v>
      </c>
      <c r="M9" s="8" t="s">
        <v>654</v>
      </c>
      <c r="N9" s="8"/>
      <c r="O9" s="8">
        <v>1</v>
      </c>
      <c r="P9" s="8">
        <v>2</v>
      </c>
      <c r="Q9" s="8">
        <v>3</v>
      </c>
      <c r="R9" s="8">
        <v>4</v>
      </c>
      <c r="S9" s="8">
        <v>5</v>
      </c>
      <c r="U9" s="7">
        <v>8</v>
      </c>
      <c r="V9" s="16" t="s">
        <v>25</v>
      </c>
      <c r="W9" s="9" t="s">
        <v>653</v>
      </c>
      <c r="X9" s="9" t="s">
        <v>645</v>
      </c>
      <c r="Y9" s="9">
        <v>1</v>
      </c>
      <c r="Z9" s="9">
        <v>2</v>
      </c>
      <c r="AA9" s="9">
        <v>3</v>
      </c>
      <c r="AB9" s="9">
        <v>4</v>
      </c>
      <c r="AC9" s="9">
        <v>5</v>
      </c>
      <c r="AE9" s="7">
        <v>41</v>
      </c>
      <c r="AF9" s="16" t="s">
        <v>316</v>
      </c>
      <c r="AG9" s="9" t="s">
        <v>319</v>
      </c>
      <c r="AH9" s="9"/>
      <c r="AI9" s="9">
        <v>1</v>
      </c>
      <c r="AJ9" s="9">
        <v>2</v>
      </c>
      <c r="AK9" s="9">
        <v>3</v>
      </c>
      <c r="AL9" s="9">
        <v>4</v>
      </c>
      <c r="AM9" s="9">
        <v>5</v>
      </c>
    </row>
    <row r="10" spans="1:39" ht="24.75" customHeight="1">
      <c r="A10" s="7">
        <v>9</v>
      </c>
      <c r="B10" s="16" t="s">
        <v>25</v>
      </c>
      <c r="C10" s="9" t="s">
        <v>655</v>
      </c>
      <c r="D10" s="9"/>
      <c r="E10" s="9"/>
      <c r="F10" s="9"/>
      <c r="G10" s="9"/>
      <c r="H10" s="9">
        <v>4</v>
      </c>
      <c r="I10" s="9"/>
      <c r="K10" s="7">
        <v>42</v>
      </c>
      <c r="L10" s="16" t="s">
        <v>459</v>
      </c>
      <c r="M10" s="9" t="s">
        <v>467</v>
      </c>
      <c r="N10" s="9"/>
      <c r="O10" s="9">
        <v>1</v>
      </c>
      <c r="P10" s="9">
        <v>2</v>
      </c>
      <c r="Q10" s="9">
        <v>3</v>
      </c>
      <c r="R10" s="9">
        <v>4</v>
      </c>
      <c r="S10" s="9">
        <v>5</v>
      </c>
      <c r="U10" s="7">
        <v>9</v>
      </c>
      <c r="V10" s="16" t="s">
        <v>25</v>
      </c>
      <c r="W10" s="9" t="s">
        <v>655</v>
      </c>
      <c r="X10" s="9"/>
      <c r="Y10" s="9"/>
      <c r="Z10" s="9"/>
      <c r="AA10" s="9"/>
      <c r="AB10" s="9">
        <v>4</v>
      </c>
      <c r="AC10" s="9"/>
      <c r="AE10" s="7">
        <v>42</v>
      </c>
      <c r="AF10" s="17" t="s">
        <v>316</v>
      </c>
      <c r="AG10" s="10" t="s">
        <v>327</v>
      </c>
      <c r="AH10" s="10"/>
      <c r="AI10" s="10">
        <v>1</v>
      </c>
      <c r="AJ10" s="10">
        <v>2</v>
      </c>
      <c r="AK10" s="10">
        <v>3</v>
      </c>
      <c r="AL10" s="10">
        <v>4</v>
      </c>
      <c r="AM10" s="10">
        <v>5</v>
      </c>
    </row>
    <row r="11" spans="1:39" ht="24.75" customHeight="1">
      <c r="A11" s="7">
        <v>10</v>
      </c>
      <c r="B11" s="16" t="s">
        <v>25</v>
      </c>
      <c r="C11" s="9" t="s">
        <v>604</v>
      </c>
      <c r="D11" s="9"/>
      <c r="E11" s="9">
        <v>1</v>
      </c>
      <c r="F11" s="9">
        <v>2</v>
      </c>
      <c r="G11" s="9">
        <v>3</v>
      </c>
      <c r="H11" s="9">
        <v>4</v>
      </c>
      <c r="I11" s="9">
        <v>5</v>
      </c>
      <c r="K11" s="7">
        <v>43</v>
      </c>
      <c r="L11" s="16" t="s">
        <v>459</v>
      </c>
      <c r="M11" s="9" t="s">
        <v>656</v>
      </c>
      <c r="N11" s="9"/>
      <c r="O11" s="9">
        <v>1</v>
      </c>
      <c r="P11" s="9">
        <v>2</v>
      </c>
      <c r="Q11" s="9">
        <v>3</v>
      </c>
      <c r="R11" s="9">
        <v>4</v>
      </c>
      <c r="S11" s="9">
        <v>5</v>
      </c>
      <c r="U11" s="7">
        <v>10</v>
      </c>
      <c r="V11" s="16" t="s">
        <v>25</v>
      </c>
      <c r="W11" s="9" t="s">
        <v>604</v>
      </c>
      <c r="X11" s="9"/>
      <c r="Y11" s="9">
        <v>1</v>
      </c>
      <c r="Z11" s="9">
        <v>2</v>
      </c>
      <c r="AA11" s="9">
        <v>3</v>
      </c>
      <c r="AB11" s="9">
        <v>4</v>
      </c>
      <c r="AC11" s="9">
        <v>5</v>
      </c>
      <c r="AE11" s="7">
        <v>43</v>
      </c>
      <c r="AF11" s="16" t="s">
        <v>341</v>
      </c>
      <c r="AG11" s="9" t="s">
        <v>657</v>
      </c>
      <c r="AH11" s="9"/>
      <c r="AI11" s="9">
        <v>1</v>
      </c>
      <c r="AJ11" s="9">
        <v>2</v>
      </c>
      <c r="AK11" s="9">
        <v>3</v>
      </c>
      <c r="AL11" s="9">
        <v>4</v>
      </c>
      <c r="AM11" s="9">
        <v>5</v>
      </c>
    </row>
    <row r="12" spans="1:39" ht="24.75" customHeight="1">
      <c r="A12" s="7">
        <v>11</v>
      </c>
      <c r="B12" s="7" t="s">
        <v>115</v>
      </c>
      <c r="C12" s="30" t="s">
        <v>128</v>
      </c>
      <c r="D12" s="8"/>
      <c r="E12" s="8">
        <v>1</v>
      </c>
      <c r="F12" s="8"/>
      <c r="G12" s="8">
        <v>3</v>
      </c>
      <c r="H12" s="8"/>
      <c r="I12" s="8"/>
      <c r="K12" s="7">
        <v>44</v>
      </c>
      <c r="L12" s="16" t="s">
        <v>459</v>
      </c>
      <c r="M12" s="9" t="s">
        <v>477</v>
      </c>
      <c r="N12" s="9"/>
      <c r="O12" s="9">
        <v>1</v>
      </c>
      <c r="P12" s="9">
        <v>2</v>
      </c>
      <c r="Q12" s="9">
        <v>3</v>
      </c>
      <c r="R12" s="9">
        <v>4</v>
      </c>
      <c r="S12" s="9">
        <v>5</v>
      </c>
      <c r="U12" s="7">
        <v>11</v>
      </c>
      <c r="V12" s="7" t="s">
        <v>504</v>
      </c>
      <c r="W12" s="8" t="s">
        <v>547</v>
      </c>
      <c r="X12" s="8"/>
      <c r="Y12" s="8">
        <v>1</v>
      </c>
      <c r="Z12" s="8">
        <v>2</v>
      </c>
      <c r="AA12" s="8">
        <v>3</v>
      </c>
      <c r="AB12" s="8">
        <v>4</v>
      </c>
      <c r="AC12" s="8">
        <v>5</v>
      </c>
      <c r="AE12" s="7">
        <v>44</v>
      </c>
      <c r="AF12" s="17" t="s">
        <v>341</v>
      </c>
      <c r="AG12" s="10" t="s">
        <v>658</v>
      </c>
      <c r="AH12" s="10"/>
      <c r="AI12" s="10">
        <v>1</v>
      </c>
      <c r="AJ12" s="10">
        <v>2</v>
      </c>
      <c r="AK12" s="10">
        <v>3</v>
      </c>
      <c r="AL12" s="10">
        <v>4</v>
      </c>
      <c r="AM12" s="10">
        <v>5</v>
      </c>
    </row>
    <row r="13" spans="1:39" ht="24.75" customHeight="1">
      <c r="A13" s="7">
        <v>12</v>
      </c>
      <c r="B13" s="28" t="s">
        <v>115</v>
      </c>
      <c r="C13" s="7" t="s">
        <v>135</v>
      </c>
      <c r="D13" s="29"/>
      <c r="E13" s="8">
        <v>1</v>
      </c>
      <c r="F13" s="8">
        <v>2</v>
      </c>
      <c r="G13" s="8">
        <v>3</v>
      </c>
      <c r="H13" s="8">
        <v>4</v>
      </c>
      <c r="I13" s="8">
        <v>5</v>
      </c>
      <c r="K13" s="7">
        <v>45</v>
      </c>
      <c r="L13" s="16" t="s">
        <v>459</v>
      </c>
      <c r="M13" s="9" t="s">
        <v>659</v>
      </c>
      <c r="N13" s="9"/>
      <c r="O13" s="9">
        <v>1</v>
      </c>
      <c r="P13" s="9">
        <v>2</v>
      </c>
      <c r="Q13" s="9">
        <v>3</v>
      </c>
      <c r="R13" s="9">
        <v>4</v>
      </c>
      <c r="S13" s="9">
        <v>5</v>
      </c>
      <c r="U13" s="7">
        <v>12</v>
      </c>
      <c r="V13" s="7" t="s">
        <v>504</v>
      </c>
      <c r="W13" s="8" t="s">
        <v>660</v>
      </c>
      <c r="X13" s="8"/>
      <c r="Y13" s="8">
        <v>1</v>
      </c>
      <c r="Z13" s="8">
        <v>2</v>
      </c>
      <c r="AA13" s="8">
        <v>3</v>
      </c>
      <c r="AB13" s="8">
        <v>4</v>
      </c>
      <c r="AC13" s="8">
        <v>5</v>
      </c>
      <c r="AE13" s="7">
        <v>45</v>
      </c>
      <c r="AF13" s="17" t="s">
        <v>341</v>
      </c>
      <c r="AG13" s="10" t="s">
        <v>661</v>
      </c>
      <c r="AH13" s="10"/>
      <c r="AI13" s="10">
        <v>1</v>
      </c>
      <c r="AJ13" s="10">
        <v>2</v>
      </c>
      <c r="AK13" s="10">
        <v>3</v>
      </c>
      <c r="AL13" s="10">
        <v>4</v>
      </c>
      <c r="AM13" s="10">
        <v>5</v>
      </c>
    </row>
    <row r="14" spans="1:39" ht="24.75" customHeight="1">
      <c r="A14" s="7">
        <v>13</v>
      </c>
      <c r="B14" s="7" t="s">
        <v>115</v>
      </c>
      <c r="C14" s="31" t="s">
        <v>160</v>
      </c>
      <c r="D14" s="8"/>
      <c r="E14" s="8">
        <v>1</v>
      </c>
      <c r="F14" s="8"/>
      <c r="G14" s="8"/>
      <c r="H14" s="8"/>
      <c r="I14" s="8"/>
      <c r="K14" s="7">
        <v>46</v>
      </c>
      <c r="L14" s="7" t="s">
        <v>481</v>
      </c>
      <c r="M14" s="8" t="s">
        <v>486</v>
      </c>
      <c r="N14" s="8"/>
      <c r="O14" s="8">
        <v>1</v>
      </c>
      <c r="P14" s="8">
        <v>2</v>
      </c>
      <c r="Q14" s="8">
        <v>3</v>
      </c>
      <c r="R14" s="8">
        <v>4</v>
      </c>
      <c r="S14" s="8">
        <v>5</v>
      </c>
      <c r="U14" s="7">
        <v>13</v>
      </c>
      <c r="V14" s="7" t="s">
        <v>504</v>
      </c>
      <c r="W14" s="8" t="s">
        <v>543</v>
      </c>
      <c r="X14" s="8"/>
      <c r="Y14" s="8">
        <v>1</v>
      </c>
      <c r="Z14" s="8">
        <v>2</v>
      </c>
      <c r="AA14" s="8">
        <v>3</v>
      </c>
      <c r="AB14" s="8">
        <v>4</v>
      </c>
      <c r="AC14" s="8">
        <v>5</v>
      </c>
      <c r="AE14" s="7">
        <v>46</v>
      </c>
      <c r="AF14" s="16" t="s">
        <v>341</v>
      </c>
      <c r="AG14" s="9" t="s">
        <v>662</v>
      </c>
      <c r="AH14" s="9" t="s">
        <v>645</v>
      </c>
      <c r="AI14" s="9">
        <v>1</v>
      </c>
      <c r="AJ14" s="9">
        <v>2</v>
      </c>
      <c r="AK14" s="9">
        <v>3</v>
      </c>
      <c r="AL14" s="9">
        <v>4</v>
      </c>
      <c r="AM14" s="9">
        <v>5</v>
      </c>
    </row>
    <row r="15" spans="1:39" ht="24.75" customHeight="1">
      <c r="A15" s="7">
        <v>14</v>
      </c>
      <c r="B15" s="7" t="s">
        <v>115</v>
      </c>
      <c r="C15" s="8" t="s">
        <v>155</v>
      </c>
      <c r="D15" s="8"/>
      <c r="E15" s="8">
        <v>1</v>
      </c>
      <c r="F15" s="8"/>
      <c r="G15" s="8"/>
      <c r="H15" s="8"/>
      <c r="I15" s="8"/>
      <c r="K15" s="7">
        <v>47</v>
      </c>
      <c r="L15" s="7" t="s">
        <v>481</v>
      </c>
      <c r="M15" s="8" t="s">
        <v>491</v>
      </c>
      <c r="N15" s="8"/>
      <c r="O15" s="8">
        <v>1</v>
      </c>
      <c r="P15" s="8">
        <v>2</v>
      </c>
      <c r="Q15" s="8">
        <v>3</v>
      </c>
      <c r="R15" s="8">
        <v>4</v>
      </c>
      <c r="S15" s="8">
        <v>5</v>
      </c>
      <c r="U15" s="7">
        <v>14</v>
      </c>
      <c r="V15" s="7" t="s">
        <v>504</v>
      </c>
      <c r="W15" s="8" t="s">
        <v>539</v>
      </c>
      <c r="X15" s="8"/>
      <c r="Y15" s="8">
        <v>1</v>
      </c>
      <c r="Z15" s="8">
        <v>2</v>
      </c>
      <c r="AA15" s="8">
        <v>3</v>
      </c>
      <c r="AB15" s="8">
        <v>4</v>
      </c>
      <c r="AC15" s="8">
        <v>5</v>
      </c>
      <c r="AE15" s="7">
        <v>47</v>
      </c>
      <c r="AF15" s="16" t="s">
        <v>341</v>
      </c>
      <c r="AG15" s="9" t="s">
        <v>368</v>
      </c>
      <c r="AH15" s="9"/>
      <c r="AI15" s="9">
        <v>1</v>
      </c>
      <c r="AJ15" s="9">
        <v>2</v>
      </c>
      <c r="AK15" s="9">
        <v>3</v>
      </c>
      <c r="AL15" s="9">
        <v>4</v>
      </c>
      <c r="AM15" s="9">
        <v>5</v>
      </c>
    </row>
    <row r="16" spans="1:39" ht="24.75" customHeight="1">
      <c r="A16" s="7">
        <v>15</v>
      </c>
      <c r="B16" s="7" t="s">
        <v>115</v>
      </c>
      <c r="C16" s="8" t="s">
        <v>183</v>
      </c>
      <c r="D16" s="8"/>
      <c r="E16" s="8">
        <v>1</v>
      </c>
      <c r="F16" s="8">
        <v>2</v>
      </c>
      <c r="G16" s="8">
        <v>3</v>
      </c>
      <c r="H16" s="8">
        <v>4</v>
      </c>
      <c r="I16" s="8">
        <v>5</v>
      </c>
      <c r="K16" s="7">
        <v>48</v>
      </c>
      <c r="L16" s="7" t="s">
        <v>481</v>
      </c>
      <c r="M16" s="8" t="s">
        <v>490</v>
      </c>
      <c r="N16" s="8"/>
      <c r="O16" s="8">
        <v>1</v>
      </c>
      <c r="P16" s="8">
        <v>2</v>
      </c>
      <c r="Q16" s="8">
        <v>3</v>
      </c>
      <c r="R16" s="8">
        <v>4</v>
      </c>
      <c r="S16" s="8">
        <v>5</v>
      </c>
      <c r="U16" s="7">
        <v>15</v>
      </c>
      <c r="V16" s="7" t="s">
        <v>504</v>
      </c>
      <c r="W16" s="8" t="s">
        <v>663</v>
      </c>
      <c r="X16" s="8"/>
      <c r="Y16" s="8">
        <v>1</v>
      </c>
      <c r="Z16" s="8">
        <v>2</v>
      </c>
      <c r="AA16" s="8">
        <v>3</v>
      </c>
      <c r="AB16" s="8">
        <v>4</v>
      </c>
      <c r="AC16" s="8">
        <v>5</v>
      </c>
      <c r="AE16" s="7">
        <v>48</v>
      </c>
      <c r="AF16" s="7" t="s">
        <v>481</v>
      </c>
      <c r="AG16" s="8" t="s">
        <v>486</v>
      </c>
      <c r="AH16" s="8"/>
      <c r="AI16" s="8">
        <v>1</v>
      </c>
      <c r="AJ16" s="8">
        <v>2</v>
      </c>
      <c r="AK16" s="8">
        <v>3</v>
      </c>
      <c r="AL16" s="8">
        <v>4</v>
      </c>
      <c r="AM16" s="8">
        <v>5</v>
      </c>
    </row>
    <row r="17" spans="1:39" ht="24.75" customHeight="1">
      <c r="A17" s="7">
        <v>16</v>
      </c>
      <c r="B17" s="7" t="s">
        <v>115</v>
      </c>
      <c r="C17" s="8" t="s">
        <v>664</v>
      </c>
      <c r="D17" s="8"/>
      <c r="E17" s="8">
        <v>1</v>
      </c>
      <c r="F17" s="8">
        <v>2</v>
      </c>
      <c r="G17" s="8">
        <v>3</v>
      </c>
      <c r="H17" s="8">
        <v>4</v>
      </c>
      <c r="I17" s="8">
        <v>5</v>
      </c>
      <c r="K17" s="7">
        <v>49</v>
      </c>
      <c r="L17" s="7" t="s">
        <v>481</v>
      </c>
      <c r="M17" s="8" t="s">
        <v>493</v>
      </c>
      <c r="N17" s="8"/>
      <c r="O17" s="8">
        <v>1</v>
      </c>
      <c r="P17" s="8">
        <v>2</v>
      </c>
      <c r="Q17" s="8">
        <v>3</v>
      </c>
      <c r="R17" s="8">
        <v>4</v>
      </c>
      <c r="S17" s="8">
        <v>5</v>
      </c>
      <c r="U17" s="7">
        <v>16</v>
      </c>
      <c r="V17" s="7" t="s">
        <v>504</v>
      </c>
      <c r="W17" s="8" t="s">
        <v>533</v>
      </c>
      <c r="X17" s="8"/>
      <c r="Y17" s="8">
        <v>1</v>
      </c>
      <c r="Z17" s="8">
        <v>2</v>
      </c>
      <c r="AA17" s="8">
        <v>3</v>
      </c>
      <c r="AB17" s="8">
        <v>4</v>
      </c>
      <c r="AC17" s="8">
        <v>5</v>
      </c>
      <c r="AE17" s="7">
        <v>49</v>
      </c>
      <c r="AF17" s="7" t="s">
        <v>481</v>
      </c>
      <c r="AG17" s="8" t="s">
        <v>491</v>
      </c>
      <c r="AH17" s="8"/>
      <c r="AI17" s="8">
        <v>1</v>
      </c>
      <c r="AJ17" s="8">
        <v>2</v>
      </c>
      <c r="AK17" s="8">
        <v>3</v>
      </c>
      <c r="AL17" s="8">
        <v>4</v>
      </c>
      <c r="AM17" s="8">
        <v>5</v>
      </c>
    </row>
    <row r="18" spans="1:39" ht="24.75" customHeight="1">
      <c r="A18" s="7">
        <v>17</v>
      </c>
      <c r="B18" s="7" t="s">
        <v>115</v>
      </c>
      <c r="C18" s="8" t="s">
        <v>180</v>
      </c>
      <c r="D18" s="8"/>
      <c r="E18" s="8">
        <v>1</v>
      </c>
      <c r="F18" s="8">
        <v>2</v>
      </c>
      <c r="G18" s="8">
        <v>3</v>
      </c>
      <c r="H18" s="8">
        <v>4</v>
      </c>
      <c r="I18" s="8">
        <v>5</v>
      </c>
      <c r="K18" s="7">
        <v>50</v>
      </c>
      <c r="L18" s="7" t="s">
        <v>481</v>
      </c>
      <c r="M18" s="8" t="s">
        <v>665</v>
      </c>
      <c r="N18" s="8"/>
      <c r="O18" s="8">
        <v>1</v>
      </c>
      <c r="P18" s="8"/>
      <c r="Q18" s="8">
        <v>3</v>
      </c>
      <c r="R18" s="8"/>
      <c r="S18" s="8"/>
      <c r="U18" s="7">
        <v>17</v>
      </c>
      <c r="V18" s="7" t="s">
        <v>504</v>
      </c>
      <c r="W18" s="8" t="s">
        <v>564</v>
      </c>
      <c r="X18" s="8"/>
      <c r="Y18" s="8">
        <v>1</v>
      </c>
      <c r="Z18" s="8"/>
      <c r="AA18" s="8">
        <v>3</v>
      </c>
      <c r="AB18" s="8"/>
      <c r="AC18" s="8">
        <v>5</v>
      </c>
      <c r="AE18" s="7">
        <v>50</v>
      </c>
      <c r="AF18" s="7" t="s">
        <v>481</v>
      </c>
      <c r="AG18" s="8" t="s">
        <v>490</v>
      </c>
      <c r="AH18" s="8"/>
      <c r="AI18" s="8">
        <v>1</v>
      </c>
      <c r="AJ18" s="8">
        <v>2</v>
      </c>
      <c r="AK18" s="8">
        <v>3</v>
      </c>
      <c r="AL18" s="8">
        <v>4</v>
      </c>
      <c r="AM18" s="8">
        <v>5</v>
      </c>
    </row>
    <row r="19" spans="1:39" ht="24.75" customHeight="1">
      <c r="A19" s="7">
        <v>18</v>
      </c>
      <c r="B19" s="7" t="s">
        <v>115</v>
      </c>
      <c r="C19" s="8" t="s">
        <v>181</v>
      </c>
      <c r="D19" s="8"/>
      <c r="E19" s="8">
        <v>1</v>
      </c>
      <c r="F19" s="8">
        <v>2</v>
      </c>
      <c r="G19" s="8">
        <v>3</v>
      </c>
      <c r="H19" s="8">
        <v>4</v>
      </c>
      <c r="I19" s="8">
        <v>5</v>
      </c>
      <c r="K19" s="7">
        <v>51</v>
      </c>
      <c r="L19" s="7" t="s">
        <v>481</v>
      </c>
      <c r="M19" s="8" t="s">
        <v>497</v>
      </c>
      <c r="N19" s="8"/>
      <c r="O19" s="8">
        <v>1</v>
      </c>
      <c r="P19" s="8"/>
      <c r="Q19" s="8">
        <v>3</v>
      </c>
      <c r="R19" s="8"/>
      <c r="S19" s="8"/>
      <c r="U19" s="7">
        <v>18</v>
      </c>
      <c r="V19" s="7" t="s">
        <v>504</v>
      </c>
      <c r="W19" s="8" t="s">
        <v>522</v>
      </c>
      <c r="X19" s="8"/>
      <c r="Y19" s="8">
        <v>1</v>
      </c>
      <c r="Z19" s="8">
        <v>2</v>
      </c>
      <c r="AA19" s="8">
        <v>3</v>
      </c>
      <c r="AB19" s="8">
        <v>4</v>
      </c>
      <c r="AC19" s="8">
        <v>5</v>
      </c>
      <c r="AE19" s="7">
        <v>51</v>
      </c>
      <c r="AF19" s="7" t="s">
        <v>481</v>
      </c>
      <c r="AG19" s="8" t="s">
        <v>493</v>
      </c>
      <c r="AH19" s="8"/>
      <c r="AI19" s="8">
        <v>1</v>
      </c>
      <c r="AJ19" s="8">
        <v>2</v>
      </c>
      <c r="AK19" s="8">
        <v>3</v>
      </c>
      <c r="AL19" s="8">
        <v>4</v>
      </c>
      <c r="AM19" s="8">
        <v>5</v>
      </c>
    </row>
    <row r="20" spans="1:39" ht="24.75" customHeight="1">
      <c r="A20" s="7">
        <v>19</v>
      </c>
      <c r="B20" s="7" t="s">
        <v>115</v>
      </c>
      <c r="C20" s="8" t="s">
        <v>167</v>
      </c>
      <c r="D20" s="8"/>
      <c r="E20" s="8">
        <v>1</v>
      </c>
      <c r="F20" s="8">
        <v>2</v>
      </c>
      <c r="G20" s="8">
        <v>3</v>
      </c>
      <c r="H20" s="8">
        <v>4</v>
      </c>
      <c r="I20" s="8">
        <v>5</v>
      </c>
      <c r="K20" s="7">
        <v>52</v>
      </c>
      <c r="L20" s="16" t="s">
        <v>341</v>
      </c>
      <c r="M20" s="9" t="s">
        <v>657</v>
      </c>
      <c r="N20" s="9"/>
      <c r="O20" s="9">
        <v>1</v>
      </c>
      <c r="P20" s="9">
        <v>2</v>
      </c>
      <c r="Q20" s="9">
        <v>3</v>
      </c>
      <c r="R20" s="9">
        <v>4</v>
      </c>
      <c r="S20" s="9">
        <v>5</v>
      </c>
      <c r="U20" s="7">
        <v>19</v>
      </c>
      <c r="V20" s="7" t="s">
        <v>504</v>
      </c>
      <c r="W20" s="8" t="s">
        <v>519</v>
      </c>
      <c r="X20" s="8"/>
      <c r="Y20" s="8">
        <v>1</v>
      </c>
      <c r="Z20" s="8">
        <v>2</v>
      </c>
      <c r="AA20" s="8">
        <v>3</v>
      </c>
      <c r="AB20" s="8">
        <v>4</v>
      </c>
      <c r="AC20" s="8">
        <v>5</v>
      </c>
      <c r="AE20" s="7">
        <v>52</v>
      </c>
      <c r="AF20" s="7" t="s">
        <v>481</v>
      </c>
      <c r="AG20" s="8" t="s">
        <v>665</v>
      </c>
      <c r="AH20" s="8"/>
      <c r="AI20" s="8">
        <v>1</v>
      </c>
      <c r="AJ20" s="8"/>
      <c r="AK20" s="8">
        <v>3</v>
      </c>
      <c r="AL20" s="8"/>
      <c r="AM20" s="8"/>
    </row>
    <row r="21" spans="1:39" ht="24.75" customHeight="1">
      <c r="A21" s="7">
        <v>20</v>
      </c>
      <c r="B21" s="16" t="s">
        <v>266</v>
      </c>
      <c r="C21" s="9" t="s">
        <v>666</v>
      </c>
      <c r="D21" s="9" t="s">
        <v>104</v>
      </c>
      <c r="E21" s="9">
        <v>1</v>
      </c>
      <c r="F21" s="9">
        <v>2</v>
      </c>
      <c r="G21" s="9">
        <v>3</v>
      </c>
      <c r="H21" s="9">
        <v>4</v>
      </c>
      <c r="I21" s="9">
        <v>5</v>
      </c>
      <c r="K21" s="7">
        <v>53</v>
      </c>
      <c r="L21" s="17" t="s">
        <v>341</v>
      </c>
      <c r="M21" s="10" t="s">
        <v>658</v>
      </c>
      <c r="N21" s="10"/>
      <c r="O21" s="10">
        <v>1</v>
      </c>
      <c r="P21" s="10">
        <v>2</v>
      </c>
      <c r="Q21" s="10">
        <v>3</v>
      </c>
      <c r="R21" s="10">
        <v>4</v>
      </c>
      <c r="S21" s="10">
        <v>5</v>
      </c>
      <c r="U21" s="7">
        <v>20</v>
      </c>
      <c r="V21" s="7" t="s">
        <v>504</v>
      </c>
      <c r="W21" s="8" t="s">
        <v>521</v>
      </c>
      <c r="X21" s="8"/>
      <c r="Y21" s="8">
        <v>1</v>
      </c>
      <c r="Z21" s="8">
        <v>2</v>
      </c>
      <c r="AA21" s="8">
        <v>3</v>
      </c>
      <c r="AB21" s="8">
        <v>4</v>
      </c>
      <c r="AC21" s="8">
        <v>5</v>
      </c>
      <c r="AE21" s="7">
        <v>53</v>
      </c>
      <c r="AF21" s="7" t="s">
        <v>481</v>
      </c>
      <c r="AG21" s="8" t="s">
        <v>497</v>
      </c>
      <c r="AH21" s="8"/>
      <c r="AI21" s="8">
        <v>1</v>
      </c>
      <c r="AJ21" s="8"/>
      <c r="AK21" s="8">
        <v>3</v>
      </c>
      <c r="AL21" s="8"/>
      <c r="AM21" s="8"/>
    </row>
    <row r="22" spans="1:39" ht="24.75" customHeight="1">
      <c r="A22" s="7">
        <v>21</v>
      </c>
      <c r="B22" s="16" t="s">
        <v>266</v>
      </c>
      <c r="C22" s="9" t="s">
        <v>667</v>
      </c>
      <c r="D22" s="9" t="s">
        <v>104</v>
      </c>
      <c r="E22" s="9">
        <v>1</v>
      </c>
      <c r="F22" s="9">
        <v>2</v>
      </c>
      <c r="G22" s="9">
        <v>3</v>
      </c>
      <c r="H22" s="9">
        <v>4</v>
      </c>
      <c r="I22" s="9">
        <v>5</v>
      </c>
      <c r="K22" s="7">
        <v>54</v>
      </c>
      <c r="L22" s="17" t="s">
        <v>341</v>
      </c>
      <c r="M22" s="10" t="s">
        <v>661</v>
      </c>
      <c r="N22" s="10"/>
      <c r="O22" s="10">
        <v>1</v>
      </c>
      <c r="P22" s="10">
        <v>2</v>
      </c>
      <c r="Q22" s="10">
        <v>3</v>
      </c>
      <c r="R22" s="10">
        <v>4</v>
      </c>
      <c r="S22" s="10">
        <v>5</v>
      </c>
      <c r="U22" s="7">
        <v>21</v>
      </c>
      <c r="V22" s="16" t="s">
        <v>115</v>
      </c>
      <c r="W22" s="26" t="s">
        <v>128</v>
      </c>
      <c r="X22" s="9"/>
      <c r="Y22" s="9">
        <v>1</v>
      </c>
      <c r="Z22" s="9"/>
      <c r="AA22" s="9">
        <v>3</v>
      </c>
      <c r="AB22" s="9"/>
      <c r="AC22" s="9"/>
      <c r="AE22" s="7">
        <v>54</v>
      </c>
      <c r="AF22" s="16" t="s">
        <v>224</v>
      </c>
      <c r="AG22" s="9" t="s">
        <v>263</v>
      </c>
      <c r="AH22" s="9"/>
      <c r="AI22" s="9">
        <v>1</v>
      </c>
      <c r="AJ22" s="9"/>
      <c r="AK22" s="9">
        <v>3</v>
      </c>
      <c r="AL22" s="9"/>
      <c r="AM22" s="9"/>
    </row>
    <row r="23" spans="1:39" ht="24.75" customHeight="1">
      <c r="A23" s="7">
        <v>22</v>
      </c>
      <c r="B23" s="16" t="s">
        <v>266</v>
      </c>
      <c r="C23" s="9" t="s">
        <v>269</v>
      </c>
      <c r="D23" s="9"/>
      <c r="E23" s="9">
        <v>1</v>
      </c>
      <c r="F23" s="9">
        <v>2</v>
      </c>
      <c r="G23" s="9">
        <v>3</v>
      </c>
      <c r="H23" s="9">
        <v>4</v>
      </c>
      <c r="I23" s="9">
        <v>5</v>
      </c>
      <c r="K23" s="7">
        <v>55</v>
      </c>
      <c r="L23" s="16" t="s">
        <v>341</v>
      </c>
      <c r="M23" s="9" t="s">
        <v>662</v>
      </c>
      <c r="N23" s="9" t="s">
        <v>645</v>
      </c>
      <c r="O23" s="9">
        <v>1</v>
      </c>
      <c r="P23" s="9">
        <v>2</v>
      </c>
      <c r="Q23" s="9">
        <v>3</v>
      </c>
      <c r="R23" s="9">
        <v>4</v>
      </c>
      <c r="S23" s="9">
        <v>5</v>
      </c>
      <c r="U23" s="7">
        <v>22</v>
      </c>
      <c r="V23" s="24" t="s">
        <v>115</v>
      </c>
      <c r="W23" s="16" t="s">
        <v>135</v>
      </c>
      <c r="X23" s="25"/>
      <c r="Y23" s="9">
        <v>1</v>
      </c>
      <c r="Z23" s="9">
        <v>2</v>
      </c>
      <c r="AA23" s="9">
        <v>3</v>
      </c>
      <c r="AB23" s="9">
        <v>4</v>
      </c>
      <c r="AC23" s="9">
        <v>5</v>
      </c>
      <c r="AE23" s="7">
        <v>55</v>
      </c>
      <c r="AF23" s="16" t="s">
        <v>224</v>
      </c>
      <c r="AG23" s="9" t="s">
        <v>644</v>
      </c>
      <c r="AH23" s="9" t="s">
        <v>645</v>
      </c>
      <c r="AI23" s="9">
        <v>1</v>
      </c>
      <c r="AJ23" s="9">
        <v>2</v>
      </c>
      <c r="AK23" s="9">
        <v>3</v>
      </c>
      <c r="AL23" s="9">
        <v>4</v>
      </c>
      <c r="AM23" s="9">
        <v>5</v>
      </c>
    </row>
    <row r="24" spans="1:39" ht="24.75" customHeight="1">
      <c r="A24" s="7">
        <v>23</v>
      </c>
      <c r="B24" s="16" t="s">
        <v>266</v>
      </c>
      <c r="C24" s="9" t="s">
        <v>668</v>
      </c>
      <c r="D24" s="9"/>
      <c r="E24" s="9">
        <v>1</v>
      </c>
      <c r="F24" s="9">
        <v>2</v>
      </c>
      <c r="G24" s="9">
        <v>3</v>
      </c>
      <c r="H24" s="9">
        <v>4</v>
      </c>
      <c r="I24" s="9">
        <v>5</v>
      </c>
      <c r="K24" s="7">
        <v>56</v>
      </c>
      <c r="L24" s="16" t="s">
        <v>341</v>
      </c>
      <c r="M24" s="9" t="s">
        <v>368</v>
      </c>
      <c r="N24" s="9"/>
      <c r="O24" s="9">
        <v>1</v>
      </c>
      <c r="P24" s="9">
        <v>2</v>
      </c>
      <c r="Q24" s="9">
        <v>3</v>
      </c>
      <c r="R24" s="9">
        <v>4</v>
      </c>
      <c r="S24" s="9">
        <v>5</v>
      </c>
      <c r="U24" s="7">
        <v>23</v>
      </c>
      <c r="V24" s="16" t="s">
        <v>115</v>
      </c>
      <c r="W24" s="27" t="s">
        <v>160</v>
      </c>
      <c r="X24" s="9"/>
      <c r="Y24" s="9">
        <v>1</v>
      </c>
      <c r="Z24" s="9"/>
      <c r="AA24" s="9"/>
      <c r="AB24" s="9"/>
      <c r="AC24" s="9"/>
      <c r="AE24" s="7">
        <v>56</v>
      </c>
      <c r="AF24" s="16" t="s">
        <v>224</v>
      </c>
      <c r="AG24" s="9" t="s">
        <v>216</v>
      </c>
      <c r="AH24" s="9"/>
      <c r="AI24" s="9">
        <v>1</v>
      </c>
      <c r="AJ24" s="9">
        <v>2</v>
      </c>
      <c r="AK24" s="9">
        <v>3</v>
      </c>
      <c r="AL24" s="9">
        <v>4</v>
      </c>
      <c r="AM24" s="9">
        <v>5</v>
      </c>
    </row>
    <row r="25" spans="1:39" ht="24.75" customHeight="1">
      <c r="A25" s="7">
        <v>24</v>
      </c>
      <c r="B25" s="16" t="s">
        <v>266</v>
      </c>
      <c r="C25" s="9" t="s">
        <v>279</v>
      </c>
      <c r="D25" s="9"/>
      <c r="E25" s="9">
        <v>1</v>
      </c>
      <c r="F25" s="9">
        <v>2</v>
      </c>
      <c r="G25" s="9">
        <v>3</v>
      </c>
      <c r="H25" s="9">
        <v>4</v>
      </c>
      <c r="I25" s="9">
        <v>5</v>
      </c>
      <c r="K25" s="7">
        <v>57</v>
      </c>
      <c r="L25" s="7" t="s">
        <v>504</v>
      </c>
      <c r="M25" s="8" t="s">
        <v>547</v>
      </c>
      <c r="N25" s="8"/>
      <c r="O25" s="8">
        <v>1</v>
      </c>
      <c r="P25" s="8">
        <v>2</v>
      </c>
      <c r="Q25" s="8">
        <v>3</v>
      </c>
      <c r="R25" s="8">
        <v>4</v>
      </c>
      <c r="S25" s="8">
        <v>5</v>
      </c>
      <c r="U25" s="7">
        <v>24</v>
      </c>
      <c r="V25" s="16" t="s">
        <v>115</v>
      </c>
      <c r="W25" s="9" t="s">
        <v>155</v>
      </c>
      <c r="X25" s="9"/>
      <c r="Y25" s="9">
        <v>1</v>
      </c>
      <c r="Z25" s="9"/>
      <c r="AA25" s="9"/>
      <c r="AB25" s="9"/>
      <c r="AC25" s="9"/>
      <c r="AE25" s="7">
        <v>57</v>
      </c>
      <c r="AF25" s="16" t="s">
        <v>224</v>
      </c>
      <c r="AG25" s="9" t="s">
        <v>221</v>
      </c>
      <c r="AH25" s="9"/>
      <c r="AI25" s="9">
        <v>1</v>
      </c>
      <c r="AJ25" s="9">
        <v>2</v>
      </c>
      <c r="AK25" s="9">
        <v>3</v>
      </c>
      <c r="AL25" s="9">
        <v>4</v>
      </c>
      <c r="AM25" s="9">
        <v>5</v>
      </c>
    </row>
    <row r="26" spans="1:39" ht="24.75" customHeight="1">
      <c r="A26" s="7">
        <v>25</v>
      </c>
      <c r="B26" s="16" t="s">
        <v>266</v>
      </c>
      <c r="C26" s="9" t="s">
        <v>281</v>
      </c>
      <c r="D26" s="9"/>
      <c r="E26" s="9">
        <v>1</v>
      </c>
      <c r="F26" s="9">
        <v>2</v>
      </c>
      <c r="G26" s="9">
        <v>3</v>
      </c>
      <c r="H26" s="9">
        <v>4</v>
      </c>
      <c r="I26" s="9">
        <v>5</v>
      </c>
      <c r="K26" s="7">
        <v>58</v>
      </c>
      <c r="L26" s="7" t="s">
        <v>504</v>
      </c>
      <c r="M26" s="8" t="s">
        <v>660</v>
      </c>
      <c r="N26" s="8"/>
      <c r="O26" s="8">
        <v>1</v>
      </c>
      <c r="P26" s="8">
        <v>2</v>
      </c>
      <c r="Q26" s="8">
        <v>3</v>
      </c>
      <c r="R26" s="8">
        <v>4</v>
      </c>
      <c r="S26" s="8">
        <v>5</v>
      </c>
      <c r="U26" s="7">
        <v>25</v>
      </c>
      <c r="V26" s="16" t="s">
        <v>115</v>
      </c>
      <c r="W26" s="9" t="s">
        <v>183</v>
      </c>
      <c r="X26" s="9"/>
      <c r="Y26" s="9">
        <v>1</v>
      </c>
      <c r="Z26" s="9">
        <v>2</v>
      </c>
      <c r="AA26" s="9">
        <v>3</v>
      </c>
      <c r="AB26" s="9">
        <v>4</v>
      </c>
      <c r="AC26" s="9">
        <v>5</v>
      </c>
      <c r="AE26" s="7">
        <v>58</v>
      </c>
      <c r="AF26" s="16" t="s">
        <v>224</v>
      </c>
      <c r="AG26" s="9" t="s">
        <v>212</v>
      </c>
      <c r="AH26" s="9"/>
      <c r="AI26" s="9">
        <v>1</v>
      </c>
      <c r="AJ26" s="9">
        <v>2</v>
      </c>
      <c r="AK26" s="9">
        <v>3</v>
      </c>
      <c r="AL26" s="9">
        <v>4</v>
      </c>
      <c r="AM26" s="9">
        <v>5</v>
      </c>
    </row>
    <row r="27" spans="1:39" ht="24.75" customHeight="1">
      <c r="A27" s="7">
        <v>26</v>
      </c>
      <c r="B27" s="16" t="s">
        <v>266</v>
      </c>
      <c r="C27" s="9" t="s">
        <v>290</v>
      </c>
      <c r="D27" s="9"/>
      <c r="E27" s="9">
        <v>1</v>
      </c>
      <c r="F27" s="9">
        <v>2</v>
      </c>
      <c r="G27" s="9">
        <v>3</v>
      </c>
      <c r="H27" s="9">
        <v>4</v>
      </c>
      <c r="I27" s="9">
        <v>5</v>
      </c>
      <c r="K27" s="7">
        <v>59</v>
      </c>
      <c r="L27" s="7" t="s">
        <v>504</v>
      </c>
      <c r="M27" s="8" t="s">
        <v>543</v>
      </c>
      <c r="N27" s="8"/>
      <c r="O27" s="8">
        <v>1</v>
      </c>
      <c r="P27" s="8">
        <v>2</v>
      </c>
      <c r="Q27" s="8">
        <v>3</v>
      </c>
      <c r="R27" s="8">
        <v>4</v>
      </c>
      <c r="S27" s="8">
        <v>5</v>
      </c>
      <c r="U27" s="7">
        <v>26</v>
      </c>
      <c r="V27" s="16" t="s">
        <v>115</v>
      </c>
      <c r="W27" s="9" t="s">
        <v>664</v>
      </c>
      <c r="X27" s="9"/>
      <c r="Y27" s="9">
        <v>1</v>
      </c>
      <c r="Z27" s="9">
        <v>2</v>
      </c>
      <c r="AA27" s="9">
        <v>3</v>
      </c>
      <c r="AB27" s="9">
        <v>4</v>
      </c>
      <c r="AC27" s="9">
        <v>5</v>
      </c>
      <c r="AE27" s="7">
        <v>59</v>
      </c>
      <c r="AF27" s="7" t="s">
        <v>224</v>
      </c>
      <c r="AG27" s="8" t="s">
        <v>630</v>
      </c>
      <c r="AH27" s="8"/>
      <c r="AI27" s="8">
        <v>1</v>
      </c>
      <c r="AJ27" s="8">
        <v>2</v>
      </c>
      <c r="AK27" s="8">
        <v>3</v>
      </c>
      <c r="AL27" s="8">
        <v>4</v>
      </c>
      <c r="AM27" s="8">
        <v>5</v>
      </c>
    </row>
    <row r="28" spans="1:39" ht="24.75" customHeight="1">
      <c r="A28" s="7">
        <v>27</v>
      </c>
      <c r="B28" s="16" t="s">
        <v>266</v>
      </c>
      <c r="C28" s="9" t="s">
        <v>296</v>
      </c>
      <c r="D28" s="9"/>
      <c r="E28" s="9">
        <v>1</v>
      </c>
      <c r="F28" s="9">
        <v>2</v>
      </c>
      <c r="G28" s="9">
        <v>3</v>
      </c>
      <c r="H28" s="9">
        <v>4</v>
      </c>
      <c r="I28" s="9">
        <v>5</v>
      </c>
      <c r="K28" s="7">
        <v>60</v>
      </c>
      <c r="L28" s="7" t="s">
        <v>504</v>
      </c>
      <c r="M28" s="8" t="s">
        <v>539</v>
      </c>
      <c r="N28" s="8"/>
      <c r="O28" s="8">
        <v>1</v>
      </c>
      <c r="P28" s="8">
        <v>2</v>
      </c>
      <c r="Q28" s="8">
        <v>3</v>
      </c>
      <c r="R28" s="8">
        <v>4</v>
      </c>
      <c r="S28" s="8">
        <v>5</v>
      </c>
      <c r="U28" s="7">
        <v>27</v>
      </c>
      <c r="V28" s="16" t="s">
        <v>115</v>
      </c>
      <c r="W28" s="9" t="s">
        <v>180</v>
      </c>
      <c r="X28" s="9"/>
      <c r="Y28" s="9">
        <v>1</v>
      </c>
      <c r="Z28" s="9">
        <v>2</v>
      </c>
      <c r="AA28" s="9">
        <v>3</v>
      </c>
      <c r="AB28" s="9">
        <v>4</v>
      </c>
      <c r="AC28" s="9">
        <v>5</v>
      </c>
      <c r="AE28" s="7">
        <v>60</v>
      </c>
      <c r="AF28" s="7" t="s">
        <v>224</v>
      </c>
      <c r="AG28" s="8" t="s">
        <v>649</v>
      </c>
      <c r="AH28" s="8"/>
      <c r="AI28" s="8">
        <v>1</v>
      </c>
      <c r="AJ28" s="8">
        <v>2</v>
      </c>
      <c r="AK28" s="8">
        <v>3</v>
      </c>
      <c r="AL28" s="8">
        <v>4</v>
      </c>
      <c r="AM28" s="8">
        <v>5</v>
      </c>
    </row>
    <row r="29" spans="1:39" ht="24.75" customHeight="1">
      <c r="A29" s="7">
        <v>28</v>
      </c>
      <c r="B29" s="16" t="s">
        <v>266</v>
      </c>
      <c r="C29" s="9" t="s">
        <v>648</v>
      </c>
      <c r="D29" s="9" t="s">
        <v>645</v>
      </c>
      <c r="E29" s="9">
        <v>1</v>
      </c>
      <c r="F29" s="9">
        <v>2</v>
      </c>
      <c r="G29" s="9">
        <v>3</v>
      </c>
      <c r="H29" s="9">
        <v>4</v>
      </c>
      <c r="I29" s="9">
        <v>5</v>
      </c>
      <c r="K29" s="7">
        <v>61</v>
      </c>
      <c r="L29" s="7" t="s">
        <v>504</v>
      </c>
      <c r="M29" s="8" t="s">
        <v>663</v>
      </c>
      <c r="N29" s="8"/>
      <c r="O29" s="8">
        <v>1</v>
      </c>
      <c r="P29" s="8">
        <v>2</v>
      </c>
      <c r="Q29" s="8">
        <v>3</v>
      </c>
      <c r="R29" s="8">
        <v>4</v>
      </c>
      <c r="S29" s="8">
        <v>5</v>
      </c>
      <c r="U29" s="7">
        <v>28</v>
      </c>
      <c r="V29" s="16" t="s">
        <v>115</v>
      </c>
      <c r="W29" s="9" t="s">
        <v>181</v>
      </c>
      <c r="X29" s="9"/>
      <c r="Y29" s="9">
        <v>1</v>
      </c>
      <c r="Z29" s="9">
        <v>2</v>
      </c>
      <c r="AA29" s="9">
        <v>3</v>
      </c>
      <c r="AB29" s="9">
        <v>4</v>
      </c>
      <c r="AC29" s="9">
        <v>5</v>
      </c>
      <c r="AE29" s="7">
        <v>61</v>
      </c>
      <c r="AF29" s="7" t="s">
        <v>224</v>
      </c>
      <c r="AG29" s="8" t="s">
        <v>652</v>
      </c>
      <c r="AH29" s="8" t="s">
        <v>645</v>
      </c>
      <c r="AI29" s="8">
        <v>1</v>
      </c>
      <c r="AJ29" s="8">
        <v>2</v>
      </c>
      <c r="AK29" s="8">
        <v>3</v>
      </c>
      <c r="AL29" s="8">
        <v>4</v>
      </c>
      <c r="AM29" s="8">
        <v>5</v>
      </c>
    </row>
    <row r="30" spans="1:39" ht="24.75" customHeight="1">
      <c r="A30" s="7">
        <v>29</v>
      </c>
      <c r="B30" s="17" t="s">
        <v>316</v>
      </c>
      <c r="C30" s="10" t="s">
        <v>650</v>
      </c>
      <c r="D30" s="10"/>
      <c r="E30" s="10">
        <v>1</v>
      </c>
      <c r="F30" s="10">
        <v>2</v>
      </c>
      <c r="G30" s="10">
        <v>3</v>
      </c>
      <c r="H30" s="10">
        <v>4</v>
      </c>
      <c r="I30" s="10">
        <v>5</v>
      </c>
      <c r="K30" s="7">
        <v>62</v>
      </c>
      <c r="L30" s="7" t="s">
        <v>504</v>
      </c>
      <c r="M30" s="8" t="s">
        <v>533</v>
      </c>
      <c r="N30" s="8"/>
      <c r="O30" s="8">
        <v>1</v>
      </c>
      <c r="P30" s="8">
        <v>2</v>
      </c>
      <c r="Q30" s="8">
        <v>3</v>
      </c>
      <c r="R30" s="8">
        <v>4</v>
      </c>
      <c r="S30" s="8">
        <v>5</v>
      </c>
      <c r="U30" s="7">
        <v>29</v>
      </c>
      <c r="V30" s="16" t="s">
        <v>115</v>
      </c>
      <c r="W30" s="9" t="s">
        <v>167</v>
      </c>
      <c r="X30" s="9"/>
      <c r="Y30" s="9">
        <v>1</v>
      </c>
      <c r="Z30" s="9">
        <v>2</v>
      </c>
      <c r="AA30" s="9">
        <v>3</v>
      </c>
      <c r="AB30" s="9">
        <v>4</v>
      </c>
      <c r="AC30" s="9">
        <v>5</v>
      </c>
      <c r="AE30" s="7">
        <v>62</v>
      </c>
      <c r="AF30" s="7" t="s">
        <v>224</v>
      </c>
      <c r="AG30" s="8" t="s">
        <v>654</v>
      </c>
      <c r="AH30" s="8"/>
      <c r="AI30" s="8">
        <v>1</v>
      </c>
      <c r="AJ30" s="8">
        <v>2</v>
      </c>
      <c r="AK30" s="8">
        <v>3</v>
      </c>
      <c r="AL30" s="8">
        <v>4</v>
      </c>
      <c r="AM30" s="8">
        <v>5</v>
      </c>
    </row>
    <row r="31" spans="1:39" ht="24.75" customHeight="1">
      <c r="A31" s="7">
        <v>30</v>
      </c>
      <c r="B31" s="7" t="s">
        <v>316</v>
      </c>
      <c r="C31" s="8" t="s">
        <v>317</v>
      </c>
      <c r="D31" s="8"/>
      <c r="E31" s="8">
        <v>1</v>
      </c>
      <c r="F31" s="8"/>
      <c r="G31" s="8">
        <v>3</v>
      </c>
      <c r="H31" s="8"/>
      <c r="I31" s="8"/>
      <c r="K31" s="7">
        <v>63</v>
      </c>
      <c r="L31" s="7" t="s">
        <v>504</v>
      </c>
      <c r="M31" s="8" t="s">
        <v>564</v>
      </c>
      <c r="N31" s="8"/>
      <c r="O31" s="8">
        <v>1</v>
      </c>
      <c r="P31" s="8"/>
      <c r="Q31" s="8">
        <v>3</v>
      </c>
      <c r="R31" s="8"/>
      <c r="S31" s="8">
        <v>5</v>
      </c>
      <c r="U31" s="7">
        <v>30</v>
      </c>
      <c r="V31" s="7" t="s">
        <v>266</v>
      </c>
      <c r="W31" s="8" t="s">
        <v>666</v>
      </c>
      <c r="X31" s="8" t="s">
        <v>104</v>
      </c>
      <c r="Y31" s="8">
        <v>1</v>
      </c>
      <c r="Z31" s="8">
        <v>2</v>
      </c>
      <c r="AA31" s="8">
        <v>3</v>
      </c>
      <c r="AB31" s="8">
        <v>4</v>
      </c>
      <c r="AC31" s="8">
        <v>5</v>
      </c>
      <c r="AE31" s="7">
        <v>63</v>
      </c>
      <c r="AF31" s="16" t="s">
        <v>459</v>
      </c>
      <c r="AG31" s="9" t="s">
        <v>467</v>
      </c>
      <c r="AH31" s="9"/>
      <c r="AI31" s="9">
        <v>1</v>
      </c>
      <c r="AJ31" s="9">
        <v>2</v>
      </c>
      <c r="AK31" s="9">
        <v>3</v>
      </c>
      <c r="AL31" s="9">
        <v>4</v>
      </c>
      <c r="AM31" s="9">
        <v>5</v>
      </c>
    </row>
    <row r="32" spans="1:39" ht="24.75" customHeight="1">
      <c r="A32" s="7">
        <v>31</v>
      </c>
      <c r="B32" s="7" t="s">
        <v>316</v>
      </c>
      <c r="C32" s="8" t="s">
        <v>319</v>
      </c>
      <c r="D32" s="8"/>
      <c r="E32" s="8">
        <v>1</v>
      </c>
      <c r="F32" s="8">
        <v>2</v>
      </c>
      <c r="G32" s="8">
        <v>3</v>
      </c>
      <c r="H32" s="8">
        <v>4</v>
      </c>
      <c r="I32" s="8">
        <v>5</v>
      </c>
      <c r="K32" s="7">
        <v>64</v>
      </c>
      <c r="L32" s="7" t="s">
        <v>504</v>
      </c>
      <c r="M32" s="8" t="s">
        <v>522</v>
      </c>
      <c r="N32" s="8"/>
      <c r="O32" s="8">
        <v>1</v>
      </c>
      <c r="P32" s="8">
        <v>2</v>
      </c>
      <c r="Q32" s="8">
        <v>3</v>
      </c>
      <c r="R32" s="8">
        <v>4</v>
      </c>
      <c r="S32" s="8">
        <v>5</v>
      </c>
      <c r="U32" s="7">
        <v>31</v>
      </c>
      <c r="V32" s="7" t="s">
        <v>266</v>
      </c>
      <c r="W32" s="8" t="s">
        <v>667</v>
      </c>
      <c r="X32" s="8" t="s">
        <v>104</v>
      </c>
      <c r="Y32" s="8">
        <v>1</v>
      </c>
      <c r="Z32" s="8">
        <v>2</v>
      </c>
      <c r="AA32" s="8">
        <v>3</v>
      </c>
      <c r="AB32" s="8">
        <v>4</v>
      </c>
      <c r="AC32" s="8">
        <v>5</v>
      </c>
      <c r="AE32" s="7">
        <v>64</v>
      </c>
      <c r="AF32" s="16" t="s">
        <v>459</v>
      </c>
      <c r="AG32" s="9" t="s">
        <v>656</v>
      </c>
      <c r="AH32" s="9"/>
      <c r="AI32" s="9">
        <v>1</v>
      </c>
      <c r="AJ32" s="9">
        <v>2</v>
      </c>
      <c r="AK32" s="9">
        <v>3</v>
      </c>
      <c r="AL32" s="9">
        <v>4</v>
      </c>
      <c r="AM32" s="9">
        <v>5</v>
      </c>
    </row>
    <row r="33" spans="1:39" ht="21" customHeight="1">
      <c r="A33" s="7">
        <v>32</v>
      </c>
      <c r="B33" s="17" t="s">
        <v>316</v>
      </c>
      <c r="C33" s="10" t="s">
        <v>327</v>
      </c>
      <c r="D33" s="10"/>
      <c r="E33" s="10">
        <v>1</v>
      </c>
      <c r="F33" s="10">
        <v>2</v>
      </c>
      <c r="G33" s="10">
        <v>3</v>
      </c>
      <c r="H33" s="10">
        <v>4</v>
      </c>
      <c r="I33" s="10">
        <v>5</v>
      </c>
      <c r="K33" s="7">
        <v>65</v>
      </c>
      <c r="L33" s="7" t="s">
        <v>504</v>
      </c>
      <c r="M33" s="8" t="s">
        <v>519</v>
      </c>
      <c r="N33" s="8"/>
      <c r="O33" s="8">
        <v>1</v>
      </c>
      <c r="P33" s="8">
        <v>2</v>
      </c>
      <c r="Q33" s="8">
        <v>3</v>
      </c>
      <c r="R33" s="8">
        <v>4</v>
      </c>
      <c r="S33" s="8">
        <v>5</v>
      </c>
      <c r="U33" s="7">
        <v>32</v>
      </c>
      <c r="V33" s="7" t="s">
        <v>266</v>
      </c>
      <c r="W33" s="8" t="s">
        <v>269</v>
      </c>
      <c r="X33" s="8"/>
      <c r="Y33" s="8">
        <v>1</v>
      </c>
      <c r="Z33" s="8">
        <v>2</v>
      </c>
      <c r="AA33" s="8">
        <v>3</v>
      </c>
      <c r="AB33" s="8">
        <v>4</v>
      </c>
      <c r="AC33" s="8">
        <v>5</v>
      </c>
      <c r="AE33" s="7">
        <v>65</v>
      </c>
      <c r="AF33" s="16" t="s">
        <v>459</v>
      </c>
      <c r="AG33" s="9" t="s">
        <v>477</v>
      </c>
      <c r="AH33" s="9"/>
      <c r="AI33" s="9">
        <v>1</v>
      </c>
      <c r="AJ33" s="9">
        <v>2</v>
      </c>
      <c r="AK33" s="9">
        <v>3</v>
      </c>
      <c r="AL33" s="9">
        <v>4</v>
      </c>
      <c r="AM33" s="9">
        <v>5</v>
      </c>
    </row>
    <row r="34" spans="1:39" ht="21" customHeight="1">
      <c r="A34" s="7">
        <v>33</v>
      </c>
      <c r="B34" s="16" t="s">
        <v>224</v>
      </c>
      <c r="C34" s="9" t="s">
        <v>263</v>
      </c>
      <c r="D34" s="9"/>
      <c r="E34" s="9">
        <v>1</v>
      </c>
      <c r="F34" s="9"/>
      <c r="G34" s="9">
        <v>3</v>
      </c>
      <c r="H34" s="9"/>
      <c r="I34" s="9"/>
      <c r="K34" s="7">
        <v>66</v>
      </c>
      <c r="L34" s="7" t="s">
        <v>504</v>
      </c>
      <c r="M34" s="8" t="s">
        <v>521</v>
      </c>
      <c r="N34" s="8"/>
      <c r="O34" s="8">
        <v>1</v>
      </c>
      <c r="P34" s="8">
        <v>2</v>
      </c>
      <c r="Q34" s="8">
        <v>3</v>
      </c>
      <c r="R34" s="8">
        <v>4</v>
      </c>
      <c r="S34" s="8">
        <v>5</v>
      </c>
      <c r="U34" s="7">
        <v>33</v>
      </c>
      <c r="V34" s="7" t="s">
        <v>266</v>
      </c>
      <c r="W34" s="8" t="s">
        <v>668</v>
      </c>
      <c r="X34" s="8"/>
      <c r="Y34" s="8">
        <v>1</v>
      </c>
      <c r="Z34" s="8">
        <v>2</v>
      </c>
      <c r="AA34" s="8">
        <v>3</v>
      </c>
      <c r="AB34" s="8">
        <v>4</v>
      </c>
      <c r="AC34" s="8">
        <v>5</v>
      </c>
      <c r="AE34" s="7">
        <v>66</v>
      </c>
      <c r="AF34" s="16" t="s">
        <v>459</v>
      </c>
      <c r="AG34" s="9" t="s">
        <v>659</v>
      </c>
      <c r="AH34" s="9"/>
      <c r="AI34" s="9">
        <v>1</v>
      </c>
      <c r="AJ34" s="9">
        <v>2</v>
      </c>
      <c r="AK34" s="9">
        <v>3</v>
      </c>
      <c r="AL34" s="9">
        <v>4</v>
      </c>
      <c r="AM34" s="9">
        <v>5</v>
      </c>
    </row>
    <row r="35" spans="1:39" ht="21" customHeight="1">
      <c r="A35" s="23"/>
      <c r="B35"/>
      <c r="C35"/>
      <c r="D35"/>
      <c r="E35"/>
      <c r="F35"/>
      <c r="G35"/>
      <c r="H35"/>
      <c r="I35"/>
      <c r="K35" s="7">
        <v>67</v>
      </c>
      <c r="L35" s="16" t="s">
        <v>447</v>
      </c>
      <c r="M35" s="9" t="s">
        <v>448</v>
      </c>
      <c r="N35" s="9"/>
      <c r="O35" s="9">
        <v>1</v>
      </c>
      <c r="P35" s="9">
        <v>2</v>
      </c>
      <c r="Q35" s="9">
        <v>3</v>
      </c>
      <c r="R35" s="9">
        <v>4</v>
      </c>
      <c r="S35" s="9">
        <v>5</v>
      </c>
      <c r="U35" s="23"/>
      <c r="AE35" s="7">
        <v>67</v>
      </c>
      <c r="AF35" s="7" t="s">
        <v>447</v>
      </c>
      <c r="AG35" s="8" t="s">
        <v>448</v>
      </c>
      <c r="AH35" s="8"/>
      <c r="AI35" s="8">
        <v>1</v>
      </c>
      <c r="AJ35" s="8">
        <v>2</v>
      </c>
      <c r="AK35" s="8">
        <v>3</v>
      </c>
      <c r="AL35" s="8">
        <v>4</v>
      </c>
      <c r="AM35" s="8">
        <v>5</v>
      </c>
    </row>
    <row r="36" spans="1:39" ht="21" customHeight="1">
      <c r="A36"/>
      <c r="B36"/>
      <c r="C36"/>
      <c r="D36"/>
      <c r="E36"/>
      <c r="F36"/>
      <c r="G36"/>
      <c r="H36"/>
      <c r="I36"/>
      <c r="K36"/>
      <c r="L36"/>
    </row>
    <row r="37" spans="1:39" ht="21" customHeight="1">
      <c r="A37"/>
      <c r="B37"/>
      <c r="C37"/>
      <c r="D37"/>
      <c r="E37"/>
      <c r="F37"/>
      <c r="G37"/>
      <c r="H37"/>
      <c r="I37"/>
      <c r="J37"/>
      <c r="K37"/>
      <c r="L37"/>
      <c r="M37" s="11" t="s">
        <v>70</v>
      </c>
      <c r="N37" s="11"/>
      <c r="O37" s="11">
        <f>COUNTIF($E$2:$S$35,"1")</f>
        <v>65</v>
      </c>
      <c r="P37" s="11">
        <f>COUNTIF($E$2:$S$35,"2")</f>
        <v>57</v>
      </c>
      <c r="Q37" s="11">
        <f>COUNTIF($E$2:$S$35,"3")</f>
        <v>63</v>
      </c>
      <c r="R37" s="11">
        <f>COUNTIF($E$2:$S$35,"4")</f>
        <v>59</v>
      </c>
      <c r="S37" s="11">
        <f>COUNTIF($E$2:$S$35,"5")</f>
        <v>58</v>
      </c>
      <c r="AG37" s="11" t="s">
        <v>70</v>
      </c>
      <c r="AH37" s="11"/>
      <c r="AI37" s="11">
        <f>COUNTIF($Y$2:$AM$35,"1")</f>
        <v>65</v>
      </c>
      <c r="AJ37" s="11">
        <f>COUNTIF($Y$2:$AM$35,"2")</f>
        <v>57</v>
      </c>
      <c r="AK37" s="11">
        <f>COUNTIF($Y$2:$AM$35,"3")</f>
        <v>63</v>
      </c>
      <c r="AL37" s="11">
        <f>COUNTIF($Y$2:$AM$35,"4")</f>
        <v>59</v>
      </c>
      <c r="AM37" s="11">
        <f>COUNTIF($Y$2:$AM$35,"5")</f>
        <v>58</v>
      </c>
    </row>
    <row r="38" spans="1:39" ht="36" customHeight="1">
      <c r="A38"/>
      <c r="B38"/>
      <c r="C38"/>
      <c r="D38"/>
      <c r="E38"/>
      <c r="F38"/>
      <c r="G38"/>
      <c r="H38"/>
      <c r="I38"/>
      <c r="J38"/>
      <c r="K38"/>
      <c r="L38"/>
      <c r="M38"/>
      <c r="N38"/>
      <c r="O38"/>
      <c r="P38"/>
      <c r="Q38"/>
      <c r="R38"/>
      <c r="S38"/>
    </row>
    <row r="39" spans="1:39" ht="36" customHeight="1">
      <c r="A39"/>
      <c r="B39"/>
      <c r="C39"/>
      <c r="D39"/>
      <c r="E39"/>
      <c r="F39"/>
      <c r="G39"/>
      <c r="H39"/>
      <c r="I39"/>
      <c r="J39"/>
      <c r="K39"/>
      <c r="L39"/>
      <c r="M39"/>
      <c r="N39"/>
      <c r="O39"/>
      <c r="P39"/>
      <c r="Q39"/>
      <c r="R39"/>
      <c r="S39"/>
    </row>
    <row r="40" spans="1:39" ht="36" customHeight="1">
      <c r="A40"/>
      <c r="B40"/>
      <c r="C40"/>
      <c r="D40"/>
      <c r="E40"/>
      <c r="F40"/>
      <c r="G40"/>
      <c r="H40"/>
      <c r="I40"/>
      <c r="K40"/>
      <c r="L40"/>
      <c r="M40"/>
      <c r="N40"/>
      <c r="O40"/>
      <c r="P40"/>
      <c r="Q40"/>
      <c r="R40"/>
      <c r="S40"/>
    </row>
    <row r="41" spans="1:39" ht="32.25" customHeight="1">
      <c r="A41"/>
      <c r="B41"/>
      <c r="C41"/>
      <c r="D41"/>
      <c r="E41"/>
      <c r="F41"/>
      <c r="G41"/>
      <c r="H41"/>
      <c r="I41"/>
      <c r="K41"/>
      <c r="L41"/>
      <c r="M41"/>
      <c r="N41"/>
      <c r="O41"/>
      <c r="P41"/>
      <c r="Q41"/>
      <c r="R41"/>
      <c r="S41"/>
    </row>
    <row r="42" spans="1:39">
      <c r="A42"/>
      <c r="B42"/>
      <c r="C42"/>
      <c r="D42"/>
      <c r="E42"/>
      <c r="F42"/>
      <c r="G42"/>
      <c r="H42"/>
      <c r="I42"/>
      <c r="K42"/>
      <c r="L42"/>
      <c r="M42"/>
      <c r="N42"/>
      <c r="O42"/>
      <c r="P42"/>
      <c r="Q42"/>
      <c r="R42"/>
      <c r="S42"/>
    </row>
    <row r="43" spans="1:39">
      <c r="A43"/>
      <c r="B43"/>
      <c r="C43"/>
      <c r="D43"/>
      <c r="E43"/>
      <c r="F43"/>
      <c r="G43"/>
      <c r="H43"/>
      <c r="I43"/>
      <c r="K43"/>
      <c r="L43"/>
      <c r="M43"/>
      <c r="N43"/>
      <c r="O43"/>
      <c r="P43"/>
      <c r="Q43"/>
      <c r="R43"/>
      <c r="S43"/>
    </row>
    <row r="44" spans="1:39">
      <c r="A44"/>
      <c r="B44"/>
      <c r="C44"/>
      <c r="D44"/>
      <c r="E44"/>
      <c r="F44"/>
      <c r="G44"/>
      <c r="H44"/>
      <c r="I44"/>
      <c r="K44"/>
      <c r="L44"/>
      <c r="M44"/>
      <c r="N44"/>
      <c r="O44"/>
      <c r="P44"/>
      <c r="Q44"/>
      <c r="R44"/>
      <c r="S44"/>
    </row>
    <row r="45" spans="1:39">
      <c r="A45"/>
      <c r="L45"/>
      <c r="M45"/>
      <c r="N45"/>
      <c r="O45"/>
      <c r="P45"/>
      <c r="Q45"/>
      <c r="R45"/>
      <c r="S45"/>
    </row>
    <row r="47" spans="1:39">
      <c r="K47"/>
    </row>
    <row r="48" spans="1:39">
      <c r="L48"/>
      <c r="M48"/>
      <c r="N48"/>
      <c r="O48"/>
      <c r="P48"/>
      <c r="Q48"/>
      <c r="R48"/>
      <c r="S48"/>
    </row>
  </sheetData>
  <phoneticPr fontId="1"/>
  <printOptions horizontalCentered="1"/>
  <pageMargins left="0.23622047244094491" right="0.23622047244094491" top="0.74803149606299213" bottom="0.74803149606299213" header="0.31496062992125978" footer="0.31496062992125978"/>
  <pageSetup paperSize="9" scale="75" fitToHeight="0" orientation="portrait"/>
  <headerFooter scaleWithDoc="0">
    <oddHeader>&amp;L&amp;9 (有)上野清掃社 
TEL 0595-36-2448&amp;C&amp;14 水曜日金属収集表&amp;R&amp;P/&amp;N</oddHeader>
    <oddFooter>&amp;L&amp;9 西山伸一作成&amp;R&amp;9 &amp;D／&amp;T</oddFooter>
  </headerFooter>
  <colBreaks count="2" manualBreakCount="2">
    <brk id="19" max="1048575" man="1"/>
    <brk id="22" min="1" max="3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pageSetUpPr fitToPage="1"/>
  </sheetPr>
  <dimension ref="A1:S46"/>
  <sheetViews>
    <sheetView showGridLines="0" topLeftCell="A16" zoomScale="77" zoomScaleNormal="77" zoomScaleSheetLayoutView="98" zoomScalePageLayoutView="99" workbookViewId="0">
      <selection activeCell="E39" sqref="E39"/>
    </sheetView>
  </sheetViews>
  <sheetFormatPr baseColWidth="10" defaultColWidth="8.6640625" defaultRowHeight="18"/>
  <cols>
    <col min="1" max="1" width="3.1640625" style="2" customWidth="1"/>
    <col min="2" max="2" width="8.1640625" style="2" customWidth="1"/>
    <col min="3" max="3" width="20.6640625" style="4" customWidth="1"/>
    <col min="4" max="9" width="4.5" style="4" customWidth="1"/>
    <col min="10" max="10" width="3.1640625" style="4" customWidth="1"/>
    <col min="11" max="11" width="3.1640625" style="2" customWidth="1"/>
    <col min="12" max="12" width="8.1640625" style="2" customWidth="1"/>
    <col min="13" max="13" width="20.6640625" style="4" customWidth="1"/>
    <col min="14" max="14" width="4.1640625" style="4" customWidth="1"/>
    <col min="15" max="19" width="4.5" style="4" customWidth="1"/>
  </cols>
  <sheetData>
    <row r="1" spans="1:19" s="1" customFormat="1" ht="24.75" customHeight="1">
      <c r="A1" s="13"/>
      <c r="B1" s="13" t="s">
        <v>0</v>
      </c>
      <c r="C1" s="13" t="s">
        <v>637</v>
      </c>
      <c r="D1" s="13"/>
      <c r="E1" s="13" t="s">
        <v>638</v>
      </c>
      <c r="F1" s="13" t="s">
        <v>639</v>
      </c>
      <c r="G1" s="13" t="s">
        <v>640</v>
      </c>
      <c r="H1" s="13" t="s">
        <v>641</v>
      </c>
      <c r="I1" s="13" t="s">
        <v>642</v>
      </c>
      <c r="J1" s="12"/>
      <c r="K1" s="13"/>
      <c r="L1" s="13" t="s">
        <v>0</v>
      </c>
      <c r="M1" s="13" t="s">
        <v>637</v>
      </c>
      <c r="N1" s="13"/>
      <c r="O1" s="13" t="s">
        <v>638</v>
      </c>
      <c r="P1" s="13" t="s">
        <v>639</v>
      </c>
      <c r="Q1" s="13" t="s">
        <v>640</v>
      </c>
      <c r="R1" s="13" t="s">
        <v>641</v>
      </c>
      <c r="S1" s="13" t="s">
        <v>642</v>
      </c>
    </row>
    <row r="2" spans="1:19" ht="24.75" customHeight="1">
      <c r="A2" s="7">
        <v>1</v>
      </c>
      <c r="B2" s="14" t="s">
        <v>394</v>
      </c>
      <c r="C2" s="15" t="s">
        <v>643</v>
      </c>
      <c r="D2" s="15"/>
      <c r="E2" s="15">
        <v>1</v>
      </c>
      <c r="F2" s="15">
        <v>2</v>
      </c>
      <c r="G2" s="15">
        <v>3</v>
      </c>
      <c r="H2" s="15">
        <v>4</v>
      </c>
      <c r="I2" s="15">
        <v>5</v>
      </c>
      <c r="K2" s="7">
        <v>34</v>
      </c>
      <c r="L2" s="16" t="s">
        <v>224</v>
      </c>
      <c r="M2" s="9" t="s">
        <v>644</v>
      </c>
      <c r="N2" s="9" t="s">
        <v>645</v>
      </c>
      <c r="O2" s="9">
        <v>1</v>
      </c>
      <c r="P2" s="9">
        <v>2</v>
      </c>
      <c r="Q2" s="9">
        <v>3</v>
      </c>
      <c r="R2" s="9">
        <v>4</v>
      </c>
      <c r="S2" s="9">
        <v>5</v>
      </c>
    </row>
    <row r="3" spans="1:19" ht="24.75" customHeight="1">
      <c r="A3" s="7">
        <v>2</v>
      </c>
      <c r="B3" s="14" t="s">
        <v>394</v>
      </c>
      <c r="C3" s="15" t="s">
        <v>646</v>
      </c>
      <c r="D3" s="15" t="s">
        <v>104</v>
      </c>
      <c r="E3" s="15">
        <v>1</v>
      </c>
      <c r="F3" s="15">
        <v>2</v>
      </c>
      <c r="G3" s="15">
        <v>3</v>
      </c>
      <c r="H3" s="15">
        <v>4</v>
      </c>
      <c r="I3" s="15">
        <v>5</v>
      </c>
      <c r="K3" s="7">
        <v>35</v>
      </c>
      <c r="L3" s="16" t="s">
        <v>224</v>
      </c>
      <c r="M3" s="9" t="s">
        <v>216</v>
      </c>
      <c r="N3" s="9"/>
      <c r="O3" s="9">
        <v>1</v>
      </c>
      <c r="P3" s="9">
        <v>2</v>
      </c>
      <c r="Q3" s="9">
        <v>3</v>
      </c>
      <c r="R3" s="9">
        <v>4</v>
      </c>
      <c r="S3" s="9">
        <v>5</v>
      </c>
    </row>
    <row r="4" spans="1:19" ht="24.75" customHeight="1">
      <c r="A4" s="7">
        <v>3</v>
      </c>
      <c r="B4" s="14" t="s">
        <v>409</v>
      </c>
      <c r="C4" s="15" t="s">
        <v>647</v>
      </c>
      <c r="D4" s="15"/>
      <c r="E4" s="15">
        <v>1</v>
      </c>
      <c r="F4" s="15">
        <v>2</v>
      </c>
      <c r="G4" s="15">
        <v>3</v>
      </c>
      <c r="H4" s="15">
        <v>4</v>
      </c>
      <c r="I4" s="15">
        <v>5</v>
      </c>
      <c r="K4" s="7">
        <v>36</v>
      </c>
      <c r="L4" s="16" t="s">
        <v>224</v>
      </c>
      <c r="M4" s="9" t="s">
        <v>221</v>
      </c>
      <c r="N4" s="9"/>
      <c r="O4" s="9">
        <v>1</v>
      </c>
      <c r="P4" s="9">
        <v>2</v>
      </c>
      <c r="Q4" s="9">
        <v>3</v>
      </c>
      <c r="R4" s="9">
        <v>4</v>
      </c>
      <c r="S4" s="9">
        <v>5</v>
      </c>
    </row>
    <row r="5" spans="1:19" ht="24.75" customHeight="1">
      <c r="A5" s="7">
        <v>4</v>
      </c>
      <c r="B5" s="14" t="s">
        <v>409</v>
      </c>
      <c r="C5" s="15" t="s">
        <v>414</v>
      </c>
      <c r="D5" s="15"/>
      <c r="E5" s="15">
        <v>1</v>
      </c>
      <c r="F5" s="15">
        <v>2</v>
      </c>
      <c r="G5" s="15">
        <v>3</v>
      </c>
      <c r="H5" s="15">
        <v>4</v>
      </c>
      <c r="I5" s="15">
        <v>5</v>
      </c>
      <c r="K5" s="7">
        <v>37</v>
      </c>
      <c r="L5" s="16" t="s">
        <v>224</v>
      </c>
      <c r="M5" s="9" t="s">
        <v>212</v>
      </c>
      <c r="N5" s="9"/>
      <c r="O5" s="9">
        <v>1</v>
      </c>
      <c r="P5" s="9">
        <v>2</v>
      </c>
      <c r="Q5" s="9">
        <v>3</v>
      </c>
      <c r="R5" s="9">
        <v>4</v>
      </c>
      <c r="S5" s="9">
        <v>5</v>
      </c>
    </row>
    <row r="6" spans="1:19" ht="24.75" customHeight="1">
      <c r="A6" s="7">
        <v>5</v>
      </c>
      <c r="B6" s="16" t="s">
        <v>25</v>
      </c>
      <c r="C6" s="9" t="s">
        <v>35</v>
      </c>
      <c r="D6" s="9"/>
      <c r="E6" s="9"/>
      <c r="F6" s="9"/>
      <c r="G6" s="9"/>
      <c r="H6" s="9">
        <v>4</v>
      </c>
      <c r="I6" s="9"/>
      <c r="K6" s="7">
        <v>38</v>
      </c>
      <c r="L6" s="7" t="s">
        <v>224</v>
      </c>
      <c r="M6" s="8" t="s">
        <v>630</v>
      </c>
      <c r="N6" s="8"/>
      <c r="O6" s="8">
        <v>1</v>
      </c>
      <c r="P6" s="8">
        <v>2</v>
      </c>
      <c r="Q6" s="8">
        <v>3</v>
      </c>
      <c r="R6" s="8">
        <v>4</v>
      </c>
      <c r="S6" s="8">
        <v>5</v>
      </c>
    </row>
    <row r="7" spans="1:19" ht="24.75" customHeight="1">
      <c r="A7" s="7">
        <v>6</v>
      </c>
      <c r="B7" s="16" t="s">
        <v>25</v>
      </c>
      <c r="C7" s="9" t="s">
        <v>45</v>
      </c>
      <c r="D7" s="9"/>
      <c r="E7" s="9">
        <v>1</v>
      </c>
      <c r="F7" s="9">
        <v>2</v>
      </c>
      <c r="G7" s="9">
        <v>3</v>
      </c>
      <c r="H7" s="9">
        <v>4</v>
      </c>
      <c r="I7" s="9">
        <v>5</v>
      </c>
      <c r="K7" s="7">
        <v>39</v>
      </c>
      <c r="L7" s="7" t="s">
        <v>224</v>
      </c>
      <c r="M7" s="8" t="s">
        <v>649</v>
      </c>
      <c r="N7" s="8"/>
      <c r="O7" s="8">
        <v>1</v>
      </c>
      <c r="P7" s="8">
        <v>2</v>
      </c>
      <c r="Q7" s="8">
        <v>3</v>
      </c>
      <c r="R7" s="8">
        <v>4</v>
      </c>
      <c r="S7" s="8">
        <v>5</v>
      </c>
    </row>
    <row r="8" spans="1:19" ht="24.75" customHeight="1">
      <c r="A8" s="7">
        <v>7</v>
      </c>
      <c r="B8" s="16" t="s">
        <v>25</v>
      </c>
      <c r="C8" s="9" t="s">
        <v>651</v>
      </c>
      <c r="D8" s="9" t="s">
        <v>645</v>
      </c>
      <c r="E8" s="9">
        <v>1</v>
      </c>
      <c r="F8" s="9">
        <v>2</v>
      </c>
      <c r="G8" s="9">
        <v>3</v>
      </c>
      <c r="H8" s="9">
        <v>4</v>
      </c>
      <c r="I8" s="9">
        <v>5</v>
      </c>
      <c r="K8" s="7">
        <v>40</v>
      </c>
      <c r="L8" s="7" t="s">
        <v>224</v>
      </c>
      <c r="M8" s="8" t="s">
        <v>652</v>
      </c>
      <c r="N8" s="8" t="s">
        <v>645</v>
      </c>
      <c r="O8" s="8">
        <v>1</v>
      </c>
      <c r="P8" s="8">
        <v>2</v>
      </c>
      <c r="Q8" s="8">
        <v>3</v>
      </c>
      <c r="R8" s="8">
        <v>4</v>
      </c>
      <c r="S8" s="8">
        <v>5</v>
      </c>
    </row>
    <row r="9" spans="1:19" ht="24.75" customHeight="1">
      <c r="A9" s="7">
        <v>8</v>
      </c>
      <c r="B9" s="16" t="s">
        <v>25</v>
      </c>
      <c r="C9" s="9" t="s">
        <v>653</v>
      </c>
      <c r="D9" s="9" t="s">
        <v>645</v>
      </c>
      <c r="E9" s="9">
        <v>1</v>
      </c>
      <c r="F9" s="9">
        <v>2</v>
      </c>
      <c r="G9" s="9">
        <v>3</v>
      </c>
      <c r="H9" s="9">
        <v>4</v>
      </c>
      <c r="I9" s="9">
        <v>5</v>
      </c>
      <c r="K9" s="7">
        <v>41</v>
      </c>
      <c r="L9" s="7" t="s">
        <v>224</v>
      </c>
      <c r="M9" s="8" t="s">
        <v>654</v>
      </c>
      <c r="N9" s="8"/>
      <c r="O9" s="8">
        <v>1</v>
      </c>
      <c r="P9" s="8">
        <v>2</v>
      </c>
      <c r="Q9" s="8">
        <v>3</v>
      </c>
      <c r="R9" s="8">
        <v>4</v>
      </c>
      <c r="S9" s="8">
        <v>5</v>
      </c>
    </row>
    <row r="10" spans="1:19" ht="24.75" customHeight="1">
      <c r="A10" s="7">
        <v>9</v>
      </c>
      <c r="B10" s="16" t="s">
        <v>25</v>
      </c>
      <c r="C10" s="9" t="s">
        <v>655</v>
      </c>
      <c r="D10" s="9"/>
      <c r="E10" s="9"/>
      <c r="F10" s="9"/>
      <c r="G10" s="9"/>
      <c r="H10" s="9">
        <v>4</v>
      </c>
      <c r="I10" s="9"/>
      <c r="K10" s="7">
        <v>42</v>
      </c>
      <c r="L10" s="16" t="s">
        <v>459</v>
      </c>
      <c r="M10" s="9" t="s">
        <v>467</v>
      </c>
      <c r="N10" s="9"/>
      <c r="O10" s="9">
        <v>1</v>
      </c>
      <c r="P10" s="9">
        <v>2</v>
      </c>
      <c r="Q10" s="9">
        <v>3</v>
      </c>
      <c r="R10" s="9">
        <v>4</v>
      </c>
      <c r="S10" s="9">
        <v>5</v>
      </c>
    </row>
    <row r="11" spans="1:19" ht="24.75" customHeight="1">
      <c r="A11" s="7">
        <v>10</v>
      </c>
      <c r="B11" s="16" t="s">
        <v>25</v>
      </c>
      <c r="C11" s="9" t="s">
        <v>604</v>
      </c>
      <c r="D11" s="9"/>
      <c r="E11" s="9">
        <v>1</v>
      </c>
      <c r="F11" s="9">
        <v>2</v>
      </c>
      <c r="G11" s="9">
        <v>3</v>
      </c>
      <c r="H11" s="9">
        <v>4</v>
      </c>
      <c r="I11" s="9">
        <v>5</v>
      </c>
      <c r="K11" s="7">
        <v>43</v>
      </c>
      <c r="L11" s="16" t="s">
        <v>459</v>
      </c>
      <c r="M11" s="9" t="s">
        <v>656</v>
      </c>
      <c r="N11" s="9"/>
      <c r="O11" s="9">
        <v>1</v>
      </c>
      <c r="P11" s="9">
        <v>2</v>
      </c>
      <c r="Q11" s="9">
        <v>3</v>
      </c>
      <c r="R11" s="9">
        <v>4</v>
      </c>
      <c r="S11" s="9">
        <v>5</v>
      </c>
    </row>
    <row r="12" spans="1:19" ht="24.75" customHeight="1">
      <c r="A12" s="7">
        <v>11</v>
      </c>
      <c r="B12" s="7" t="s">
        <v>115</v>
      </c>
      <c r="C12" s="30" t="s">
        <v>128</v>
      </c>
      <c r="D12" s="8"/>
      <c r="E12" s="8">
        <v>1</v>
      </c>
      <c r="F12" s="8"/>
      <c r="G12" s="8">
        <v>3</v>
      </c>
      <c r="H12" s="8"/>
      <c r="I12" s="8"/>
      <c r="K12" s="7">
        <v>44</v>
      </c>
      <c r="L12" s="16" t="s">
        <v>459</v>
      </c>
      <c r="M12" s="9" t="s">
        <v>477</v>
      </c>
      <c r="N12" s="9"/>
      <c r="O12" s="9">
        <v>1</v>
      </c>
      <c r="P12" s="9">
        <v>2</v>
      </c>
      <c r="Q12" s="9">
        <v>3</v>
      </c>
      <c r="R12" s="9">
        <v>4</v>
      </c>
      <c r="S12" s="9">
        <v>5</v>
      </c>
    </row>
    <row r="13" spans="1:19" ht="24.75" customHeight="1">
      <c r="A13" s="7">
        <v>12</v>
      </c>
      <c r="B13" s="28" t="s">
        <v>115</v>
      </c>
      <c r="C13" s="38" t="s">
        <v>135</v>
      </c>
      <c r="D13" s="29"/>
      <c r="E13" s="8">
        <v>1</v>
      </c>
      <c r="F13" s="8">
        <v>2</v>
      </c>
      <c r="G13" s="8">
        <v>3</v>
      </c>
      <c r="H13" s="8">
        <v>4</v>
      </c>
      <c r="I13" s="8">
        <v>5</v>
      </c>
      <c r="K13" s="7">
        <v>45</v>
      </c>
      <c r="L13" s="16" t="s">
        <v>459</v>
      </c>
      <c r="M13" s="9" t="s">
        <v>633</v>
      </c>
      <c r="N13" s="9"/>
      <c r="O13" s="9">
        <v>1</v>
      </c>
      <c r="P13" s="9">
        <v>2</v>
      </c>
      <c r="Q13" s="9">
        <v>3</v>
      </c>
      <c r="R13" s="9">
        <v>4</v>
      </c>
      <c r="S13" s="9">
        <v>5</v>
      </c>
    </row>
    <row r="14" spans="1:19" ht="24.75" customHeight="1">
      <c r="A14" s="7">
        <v>13</v>
      </c>
      <c r="B14" s="7" t="s">
        <v>115</v>
      </c>
      <c r="C14" s="31" t="s">
        <v>160</v>
      </c>
      <c r="D14" s="8"/>
      <c r="E14" s="8">
        <v>1</v>
      </c>
      <c r="F14" s="8"/>
      <c r="G14" s="8"/>
      <c r="H14" s="8"/>
      <c r="I14" s="8"/>
      <c r="K14" s="7">
        <v>46</v>
      </c>
      <c r="L14" s="7" t="s">
        <v>481</v>
      </c>
      <c r="M14" s="8" t="s">
        <v>486</v>
      </c>
      <c r="N14" s="8"/>
      <c r="O14" s="8">
        <v>1</v>
      </c>
      <c r="P14" s="8">
        <v>2</v>
      </c>
      <c r="Q14" s="8">
        <v>3</v>
      </c>
      <c r="R14" s="8">
        <v>4</v>
      </c>
      <c r="S14" s="8">
        <v>5</v>
      </c>
    </row>
    <row r="15" spans="1:19" ht="24.75" customHeight="1">
      <c r="A15" s="7">
        <v>14</v>
      </c>
      <c r="B15" s="7" t="s">
        <v>115</v>
      </c>
      <c r="C15" s="8" t="s">
        <v>155</v>
      </c>
      <c r="D15" s="8"/>
      <c r="E15" s="8">
        <v>1</v>
      </c>
      <c r="F15" s="8"/>
      <c r="G15" s="8"/>
      <c r="H15" s="8"/>
      <c r="I15" s="8"/>
      <c r="K15" s="7">
        <v>47</v>
      </c>
      <c r="L15" s="7" t="s">
        <v>481</v>
      </c>
      <c r="M15" s="8" t="s">
        <v>491</v>
      </c>
      <c r="N15" s="8"/>
      <c r="O15" s="8">
        <v>1</v>
      </c>
      <c r="P15" s="8">
        <v>2</v>
      </c>
      <c r="Q15" s="8">
        <v>3</v>
      </c>
      <c r="R15" s="8">
        <v>4</v>
      </c>
      <c r="S15" s="8">
        <v>5</v>
      </c>
    </row>
    <row r="16" spans="1:19" ht="24.75" customHeight="1">
      <c r="A16" s="7">
        <v>15</v>
      </c>
      <c r="B16" s="7" t="s">
        <v>115</v>
      </c>
      <c r="C16" s="8" t="s">
        <v>183</v>
      </c>
      <c r="D16" s="8"/>
      <c r="E16" s="8">
        <v>1</v>
      </c>
      <c r="F16" s="8">
        <v>2</v>
      </c>
      <c r="G16" s="8">
        <v>3</v>
      </c>
      <c r="H16" s="8">
        <v>4</v>
      </c>
      <c r="I16" s="8">
        <v>5</v>
      </c>
      <c r="K16" s="7">
        <v>48</v>
      </c>
      <c r="L16" s="7" t="s">
        <v>481</v>
      </c>
      <c r="M16" s="8" t="s">
        <v>490</v>
      </c>
      <c r="N16" s="8"/>
      <c r="O16" s="8">
        <v>1</v>
      </c>
      <c r="P16" s="8">
        <v>2</v>
      </c>
      <c r="Q16" s="8">
        <v>3</v>
      </c>
      <c r="R16" s="8">
        <v>4</v>
      </c>
      <c r="S16" s="8">
        <v>5</v>
      </c>
    </row>
    <row r="17" spans="1:19" ht="24.75" customHeight="1">
      <c r="A17" s="7">
        <v>16</v>
      </c>
      <c r="B17" s="7" t="s">
        <v>115</v>
      </c>
      <c r="C17" s="8" t="s">
        <v>664</v>
      </c>
      <c r="D17" s="8"/>
      <c r="E17" s="8">
        <v>1</v>
      </c>
      <c r="F17" s="8">
        <v>2</v>
      </c>
      <c r="G17" s="8">
        <v>3</v>
      </c>
      <c r="H17" s="8">
        <v>4</v>
      </c>
      <c r="I17" s="8">
        <v>5</v>
      </c>
      <c r="K17" s="7">
        <v>49</v>
      </c>
      <c r="L17" s="7" t="s">
        <v>481</v>
      </c>
      <c r="M17" s="8" t="s">
        <v>493</v>
      </c>
      <c r="N17" s="8"/>
      <c r="O17" s="8">
        <v>1</v>
      </c>
      <c r="P17" s="8">
        <v>2</v>
      </c>
      <c r="Q17" s="8">
        <v>3</v>
      </c>
      <c r="R17" s="8">
        <v>4</v>
      </c>
      <c r="S17" s="8">
        <v>5</v>
      </c>
    </row>
    <row r="18" spans="1:19" ht="24.75" customHeight="1">
      <c r="A18" s="7">
        <v>17</v>
      </c>
      <c r="B18" s="7" t="s">
        <v>115</v>
      </c>
      <c r="C18" s="8" t="s">
        <v>180</v>
      </c>
      <c r="D18" s="8"/>
      <c r="E18" s="8">
        <v>1</v>
      </c>
      <c r="F18" s="8">
        <v>2</v>
      </c>
      <c r="G18" s="8">
        <v>3</v>
      </c>
      <c r="H18" s="8">
        <v>4</v>
      </c>
      <c r="I18" s="8">
        <v>5</v>
      </c>
      <c r="K18" s="7">
        <v>50</v>
      </c>
      <c r="L18" s="7" t="s">
        <v>481</v>
      </c>
      <c r="M18" s="8" t="s">
        <v>665</v>
      </c>
      <c r="N18" s="8"/>
      <c r="O18" s="8">
        <v>1</v>
      </c>
      <c r="P18" s="8"/>
      <c r="Q18" s="8">
        <v>3</v>
      </c>
      <c r="R18" s="8"/>
      <c r="S18" s="8"/>
    </row>
    <row r="19" spans="1:19" ht="24.75" customHeight="1">
      <c r="A19" s="7">
        <v>18</v>
      </c>
      <c r="B19" s="7" t="s">
        <v>115</v>
      </c>
      <c r="C19" s="8" t="s">
        <v>181</v>
      </c>
      <c r="D19" s="8"/>
      <c r="E19" s="8">
        <v>1</v>
      </c>
      <c r="F19" s="8">
        <v>2</v>
      </c>
      <c r="G19" s="8">
        <v>3</v>
      </c>
      <c r="H19" s="8">
        <v>4</v>
      </c>
      <c r="I19" s="8">
        <v>5</v>
      </c>
      <c r="K19" s="7">
        <v>51</v>
      </c>
      <c r="L19" s="7" t="s">
        <v>481</v>
      </c>
      <c r="M19" s="8" t="s">
        <v>497</v>
      </c>
      <c r="N19" s="8"/>
      <c r="O19" s="8">
        <v>1</v>
      </c>
      <c r="P19" s="8"/>
      <c r="Q19" s="8">
        <v>3</v>
      </c>
      <c r="R19" s="8"/>
      <c r="S19" s="8"/>
    </row>
    <row r="20" spans="1:19" ht="24.75" customHeight="1">
      <c r="A20" s="7">
        <v>19</v>
      </c>
      <c r="B20" s="7" t="s">
        <v>115</v>
      </c>
      <c r="C20" s="8" t="s">
        <v>167</v>
      </c>
      <c r="D20" s="8"/>
      <c r="E20" s="8">
        <v>1</v>
      </c>
      <c r="F20" s="8">
        <v>2</v>
      </c>
      <c r="G20" s="8">
        <v>3</v>
      </c>
      <c r="H20" s="8">
        <v>4</v>
      </c>
      <c r="I20" s="8">
        <v>5</v>
      </c>
      <c r="K20" s="7">
        <v>52</v>
      </c>
      <c r="L20" s="17" t="s">
        <v>341</v>
      </c>
      <c r="M20" s="10" t="s">
        <v>658</v>
      </c>
      <c r="N20" s="10"/>
      <c r="O20" s="10">
        <v>1</v>
      </c>
      <c r="P20" s="10">
        <v>2</v>
      </c>
      <c r="Q20" s="10">
        <v>3</v>
      </c>
      <c r="R20" s="10">
        <v>4</v>
      </c>
      <c r="S20" s="10">
        <v>5</v>
      </c>
    </row>
    <row r="21" spans="1:19" ht="24.75" customHeight="1">
      <c r="A21" s="7">
        <v>20</v>
      </c>
      <c r="B21" s="16" t="s">
        <v>266</v>
      </c>
      <c r="C21" s="9" t="s">
        <v>666</v>
      </c>
      <c r="D21" s="9" t="s">
        <v>104</v>
      </c>
      <c r="E21" s="9">
        <v>1</v>
      </c>
      <c r="F21" s="9">
        <v>2</v>
      </c>
      <c r="G21" s="9">
        <v>3</v>
      </c>
      <c r="H21" s="9">
        <v>4</v>
      </c>
      <c r="I21" s="9">
        <v>5</v>
      </c>
      <c r="K21" s="7">
        <v>53</v>
      </c>
      <c r="L21" s="17" t="s">
        <v>341</v>
      </c>
      <c r="M21" s="10" t="s">
        <v>661</v>
      </c>
      <c r="N21" s="10"/>
      <c r="O21" s="10">
        <v>1</v>
      </c>
      <c r="P21" s="10">
        <v>2</v>
      </c>
      <c r="Q21" s="10">
        <v>3</v>
      </c>
      <c r="R21" s="10">
        <v>4</v>
      </c>
      <c r="S21" s="10">
        <v>5</v>
      </c>
    </row>
    <row r="22" spans="1:19" ht="24.75" customHeight="1">
      <c r="A22" s="7">
        <v>21</v>
      </c>
      <c r="B22" s="16" t="s">
        <v>266</v>
      </c>
      <c r="C22" s="9" t="s">
        <v>667</v>
      </c>
      <c r="D22" s="9" t="s">
        <v>104</v>
      </c>
      <c r="E22" s="9">
        <v>1</v>
      </c>
      <c r="F22" s="9">
        <v>2</v>
      </c>
      <c r="G22" s="9">
        <v>3</v>
      </c>
      <c r="H22" s="9">
        <v>4</v>
      </c>
      <c r="I22" s="9">
        <v>5</v>
      </c>
      <c r="K22" s="7">
        <v>54</v>
      </c>
      <c r="L22" s="16" t="s">
        <v>341</v>
      </c>
      <c r="M22" s="9" t="s">
        <v>662</v>
      </c>
      <c r="N22" s="9" t="s">
        <v>645</v>
      </c>
      <c r="O22" s="9">
        <v>1</v>
      </c>
      <c r="P22" s="9">
        <v>2</v>
      </c>
      <c r="Q22" s="9">
        <v>3</v>
      </c>
      <c r="R22" s="9">
        <v>4</v>
      </c>
      <c r="S22" s="9">
        <v>5</v>
      </c>
    </row>
    <row r="23" spans="1:19" ht="24.75" customHeight="1">
      <c r="A23" s="7">
        <v>22</v>
      </c>
      <c r="B23" s="16" t="s">
        <v>266</v>
      </c>
      <c r="C23" s="9" t="s">
        <v>269</v>
      </c>
      <c r="D23" s="9"/>
      <c r="E23" s="9">
        <v>1</v>
      </c>
      <c r="F23" s="9">
        <v>2</v>
      </c>
      <c r="G23" s="9">
        <v>3</v>
      </c>
      <c r="H23" s="9">
        <v>4</v>
      </c>
      <c r="I23" s="9">
        <v>5</v>
      </c>
      <c r="K23" s="7">
        <v>55</v>
      </c>
      <c r="L23" s="16" t="s">
        <v>341</v>
      </c>
      <c r="M23" s="9" t="s">
        <v>368</v>
      </c>
      <c r="N23" s="9"/>
      <c r="O23" s="9">
        <v>1</v>
      </c>
      <c r="P23" s="9">
        <v>2</v>
      </c>
      <c r="Q23" s="9">
        <v>3</v>
      </c>
      <c r="R23" s="9">
        <v>4</v>
      </c>
      <c r="S23" s="9">
        <v>5</v>
      </c>
    </row>
    <row r="24" spans="1:19" ht="24.75" customHeight="1">
      <c r="A24" s="7">
        <v>23</v>
      </c>
      <c r="B24" s="16" t="s">
        <v>266</v>
      </c>
      <c r="C24" s="9" t="s">
        <v>668</v>
      </c>
      <c r="D24" s="9"/>
      <c r="E24" s="9">
        <v>1</v>
      </c>
      <c r="F24" s="9">
        <v>2</v>
      </c>
      <c r="G24" s="9">
        <v>3</v>
      </c>
      <c r="H24" s="9">
        <v>4</v>
      </c>
      <c r="I24" s="9">
        <v>5</v>
      </c>
      <c r="K24" s="7">
        <v>56</v>
      </c>
      <c r="L24" s="7" t="s">
        <v>504</v>
      </c>
      <c r="M24" s="8" t="s">
        <v>547</v>
      </c>
      <c r="N24" s="8"/>
      <c r="O24" s="8">
        <v>1</v>
      </c>
      <c r="P24" s="8">
        <v>2</v>
      </c>
      <c r="Q24" s="8">
        <v>3</v>
      </c>
      <c r="R24" s="8">
        <v>4</v>
      </c>
      <c r="S24" s="8">
        <v>5</v>
      </c>
    </row>
    <row r="25" spans="1:19" ht="24.75" customHeight="1">
      <c r="A25" s="7">
        <v>24</v>
      </c>
      <c r="B25" s="16" t="s">
        <v>266</v>
      </c>
      <c r="C25" s="9" t="s">
        <v>279</v>
      </c>
      <c r="D25" s="9"/>
      <c r="E25" s="9">
        <v>1</v>
      </c>
      <c r="F25" s="9">
        <v>2</v>
      </c>
      <c r="G25" s="9">
        <v>3</v>
      </c>
      <c r="H25" s="9">
        <v>4</v>
      </c>
      <c r="I25" s="9">
        <v>5</v>
      </c>
      <c r="K25" s="7">
        <v>57</v>
      </c>
      <c r="L25" s="7" t="s">
        <v>504</v>
      </c>
      <c r="M25" s="8" t="s">
        <v>660</v>
      </c>
      <c r="N25" s="8"/>
      <c r="O25" s="8">
        <v>1</v>
      </c>
      <c r="P25" s="8">
        <v>2</v>
      </c>
      <c r="Q25" s="8">
        <v>3</v>
      </c>
      <c r="R25" s="8">
        <v>4</v>
      </c>
      <c r="S25" s="8">
        <v>5</v>
      </c>
    </row>
    <row r="26" spans="1:19" ht="24.75" customHeight="1">
      <c r="A26" s="7">
        <v>25</v>
      </c>
      <c r="B26" s="16" t="s">
        <v>266</v>
      </c>
      <c r="C26" s="9" t="s">
        <v>281</v>
      </c>
      <c r="D26" s="9"/>
      <c r="E26" s="9">
        <v>1</v>
      </c>
      <c r="F26" s="9">
        <v>2</v>
      </c>
      <c r="G26" s="9">
        <v>3</v>
      </c>
      <c r="H26" s="9">
        <v>4</v>
      </c>
      <c r="I26" s="9">
        <v>5</v>
      </c>
      <c r="K26" s="7">
        <v>58</v>
      </c>
      <c r="L26" s="7" t="s">
        <v>504</v>
      </c>
      <c r="M26" s="8" t="s">
        <v>543</v>
      </c>
      <c r="N26" s="8"/>
      <c r="O26" s="8">
        <v>1</v>
      </c>
      <c r="P26" s="8">
        <v>2</v>
      </c>
      <c r="Q26" s="8">
        <v>3</v>
      </c>
      <c r="R26" s="8">
        <v>4</v>
      </c>
      <c r="S26" s="8">
        <v>5</v>
      </c>
    </row>
    <row r="27" spans="1:19" ht="24.75" customHeight="1">
      <c r="A27" s="7">
        <v>26</v>
      </c>
      <c r="B27" s="16" t="s">
        <v>266</v>
      </c>
      <c r="C27" s="9" t="s">
        <v>290</v>
      </c>
      <c r="D27" s="9"/>
      <c r="E27" s="9">
        <v>1</v>
      </c>
      <c r="F27" s="9">
        <v>2</v>
      </c>
      <c r="G27" s="9">
        <v>3</v>
      </c>
      <c r="H27" s="9">
        <v>4</v>
      </c>
      <c r="I27" s="9">
        <v>5</v>
      </c>
      <c r="K27" s="7">
        <v>59</v>
      </c>
      <c r="L27" s="7" t="s">
        <v>504</v>
      </c>
      <c r="M27" s="8" t="s">
        <v>539</v>
      </c>
      <c r="N27" s="8"/>
      <c r="O27" s="8">
        <v>1</v>
      </c>
      <c r="P27" s="8">
        <v>2</v>
      </c>
      <c r="Q27" s="8">
        <v>3</v>
      </c>
      <c r="R27" s="8">
        <v>4</v>
      </c>
      <c r="S27" s="8">
        <v>5</v>
      </c>
    </row>
    <row r="28" spans="1:19" ht="24.75" customHeight="1">
      <c r="A28" s="7">
        <v>27</v>
      </c>
      <c r="B28" s="16" t="s">
        <v>266</v>
      </c>
      <c r="C28" s="9" t="s">
        <v>296</v>
      </c>
      <c r="D28" s="9"/>
      <c r="E28" s="9">
        <v>1</v>
      </c>
      <c r="F28" s="9">
        <v>2</v>
      </c>
      <c r="G28" s="9">
        <v>3</v>
      </c>
      <c r="H28" s="9">
        <v>4</v>
      </c>
      <c r="I28" s="9">
        <v>5</v>
      </c>
      <c r="K28" s="7">
        <v>60</v>
      </c>
      <c r="L28" s="7" t="s">
        <v>504</v>
      </c>
      <c r="M28" s="8" t="s">
        <v>533</v>
      </c>
      <c r="N28" s="8"/>
      <c r="O28" s="8">
        <v>1</v>
      </c>
      <c r="P28" s="8">
        <v>2</v>
      </c>
      <c r="Q28" s="8">
        <v>3</v>
      </c>
      <c r="R28" s="8">
        <v>4</v>
      </c>
      <c r="S28" s="8">
        <v>5</v>
      </c>
    </row>
    <row r="29" spans="1:19" ht="24.75" customHeight="1">
      <c r="A29" s="7">
        <v>28</v>
      </c>
      <c r="B29" s="16" t="s">
        <v>266</v>
      </c>
      <c r="C29" s="9" t="s">
        <v>648</v>
      </c>
      <c r="D29" s="9" t="s">
        <v>645</v>
      </c>
      <c r="E29" s="9">
        <v>1</v>
      </c>
      <c r="F29" s="9">
        <v>2</v>
      </c>
      <c r="G29" s="9">
        <v>3</v>
      </c>
      <c r="H29" s="9">
        <v>4</v>
      </c>
      <c r="I29" s="9">
        <v>5</v>
      </c>
      <c r="K29" s="7">
        <v>61</v>
      </c>
      <c r="L29" s="7" t="s">
        <v>504</v>
      </c>
      <c r="M29" s="8" t="s">
        <v>564</v>
      </c>
      <c r="N29" s="8"/>
      <c r="O29" s="8">
        <v>1</v>
      </c>
      <c r="P29" s="8"/>
      <c r="Q29" s="8">
        <v>3</v>
      </c>
      <c r="R29" s="8"/>
      <c r="S29" s="8">
        <v>5</v>
      </c>
    </row>
    <row r="30" spans="1:19" ht="24.75" customHeight="1">
      <c r="A30" s="7">
        <v>29</v>
      </c>
      <c r="B30" s="17" t="s">
        <v>316</v>
      </c>
      <c r="C30" s="10" t="s">
        <v>650</v>
      </c>
      <c r="D30" s="10" t="s">
        <v>104</v>
      </c>
      <c r="E30" s="10">
        <v>1</v>
      </c>
      <c r="F30" s="10">
        <v>2</v>
      </c>
      <c r="G30" s="10">
        <v>3</v>
      </c>
      <c r="H30" s="10">
        <v>4</v>
      </c>
      <c r="I30" s="10">
        <v>5</v>
      </c>
      <c r="K30" s="7">
        <v>62</v>
      </c>
      <c r="L30" s="7" t="s">
        <v>504</v>
      </c>
      <c r="M30" s="8" t="s">
        <v>522</v>
      </c>
      <c r="N30" s="8"/>
      <c r="O30" s="8">
        <v>1</v>
      </c>
      <c r="P30" s="8">
        <v>2</v>
      </c>
      <c r="Q30" s="8">
        <v>3</v>
      </c>
      <c r="R30" s="8">
        <v>4</v>
      </c>
      <c r="S30" s="8">
        <v>5</v>
      </c>
    </row>
    <row r="31" spans="1:19" ht="24.75" customHeight="1">
      <c r="A31" s="7">
        <v>30</v>
      </c>
      <c r="B31" s="7" t="s">
        <v>316</v>
      </c>
      <c r="C31" s="8" t="s">
        <v>317</v>
      </c>
      <c r="D31" s="8"/>
      <c r="E31" s="8">
        <v>1</v>
      </c>
      <c r="F31" s="8"/>
      <c r="G31" s="8">
        <v>3</v>
      </c>
      <c r="H31" s="8"/>
      <c r="I31" s="8"/>
      <c r="K31" s="7">
        <v>63</v>
      </c>
      <c r="L31" s="7" t="s">
        <v>504</v>
      </c>
      <c r="M31" s="8" t="s">
        <v>519</v>
      </c>
      <c r="N31" s="8"/>
      <c r="O31" s="8">
        <v>1</v>
      </c>
      <c r="P31" s="8">
        <v>2</v>
      </c>
      <c r="Q31" s="8">
        <v>3</v>
      </c>
      <c r="R31" s="8">
        <v>4</v>
      </c>
      <c r="S31" s="8">
        <v>5</v>
      </c>
    </row>
    <row r="32" spans="1:19" ht="24.75" customHeight="1">
      <c r="A32" s="7">
        <v>31</v>
      </c>
      <c r="B32" s="7" t="s">
        <v>316</v>
      </c>
      <c r="C32" s="8" t="s">
        <v>319</v>
      </c>
      <c r="D32" s="8"/>
      <c r="E32" s="8">
        <v>1</v>
      </c>
      <c r="F32" s="8">
        <v>2</v>
      </c>
      <c r="G32" s="8">
        <v>3</v>
      </c>
      <c r="H32" s="8">
        <v>4</v>
      </c>
      <c r="I32" s="8">
        <v>5</v>
      </c>
      <c r="K32" s="7">
        <v>64</v>
      </c>
      <c r="L32" s="7" t="s">
        <v>504</v>
      </c>
      <c r="M32" s="8" t="s">
        <v>521</v>
      </c>
      <c r="N32" s="8"/>
      <c r="O32" s="8">
        <v>1</v>
      </c>
      <c r="P32" s="8">
        <v>2</v>
      </c>
      <c r="Q32" s="8">
        <v>3</v>
      </c>
      <c r="R32" s="8">
        <v>4</v>
      </c>
      <c r="S32" s="8">
        <v>5</v>
      </c>
    </row>
    <row r="33" spans="1:19" ht="21" customHeight="1">
      <c r="A33" s="7">
        <v>32</v>
      </c>
      <c r="B33" s="17" t="s">
        <v>316</v>
      </c>
      <c r="C33" s="10" t="s">
        <v>327</v>
      </c>
      <c r="D33" s="10"/>
      <c r="E33" s="10">
        <v>1</v>
      </c>
      <c r="F33" s="10">
        <v>2</v>
      </c>
      <c r="G33" s="10">
        <v>3</v>
      </c>
      <c r="H33" s="10">
        <v>4</v>
      </c>
      <c r="I33" s="10">
        <v>5</v>
      </c>
      <c r="K33" s="7">
        <v>65</v>
      </c>
      <c r="L33" s="16" t="s">
        <v>447</v>
      </c>
      <c r="M33" s="9" t="s">
        <v>448</v>
      </c>
      <c r="N33" s="9"/>
      <c r="O33" s="9">
        <v>1</v>
      </c>
      <c r="P33" s="9">
        <v>2</v>
      </c>
      <c r="Q33" s="9">
        <v>3</v>
      </c>
      <c r="R33" s="9">
        <v>4</v>
      </c>
      <c r="S33" s="9">
        <v>5</v>
      </c>
    </row>
    <row r="34" spans="1:19" ht="21" customHeight="1">
      <c r="A34" s="7">
        <v>33</v>
      </c>
      <c r="B34" s="16" t="s">
        <v>224</v>
      </c>
      <c r="C34" s="9" t="s">
        <v>263</v>
      </c>
      <c r="D34" s="9"/>
      <c r="E34" s="9">
        <v>1</v>
      </c>
      <c r="F34" s="9"/>
      <c r="G34" s="9">
        <v>3</v>
      </c>
      <c r="H34" s="9"/>
      <c r="I34" s="9"/>
      <c r="K34" s="7">
        <v>66</v>
      </c>
      <c r="L34" s="16"/>
      <c r="M34" s="9" t="s">
        <v>669</v>
      </c>
      <c r="N34" s="9"/>
      <c r="O34" s="9">
        <v>1</v>
      </c>
      <c r="P34" s="9">
        <v>2</v>
      </c>
      <c r="Q34" s="9">
        <v>3</v>
      </c>
      <c r="R34" s="9">
        <v>4</v>
      </c>
      <c r="S34" s="9">
        <v>5</v>
      </c>
    </row>
    <row r="35" spans="1:19" ht="21" customHeight="1">
      <c r="A35" s="23"/>
      <c r="B35"/>
      <c r="C35"/>
      <c r="D35"/>
      <c r="E35"/>
      <c r="F35"/>
      <c r="G35"/>
      <c r="H35"/>
      <c r="I35"/>
      <c r="K35"/>
      <c r="L35"/>
      <c r="M35" s="11" t="s">
        <v>70</v>
      </c>
      <c r="N35" s="11"/>
      <c r="O35" s="11">
        <f>COUNTIF($E$2:$S$34,"1")</f>
        <v>64</v>
      </c>
      <c r="P35" s="11">
        <f>COUNTIF($E$2:$S$34,"2")</f>
        <v>56</v>
      </c>
      <c r="Q35" s="11">
        <f>COUNTIF($E$2:$S$34,"3")</f>
        <v>62</v>
      </c>
      <c r="R35" s="11">
        <f>COUNTIF($E$2:$S$34,"4")</f>
        <v>58</v>
      </c>
      <c r="S35" s="11">
        <f>COUNTIF($E$2:$S$34,"5")</f>
        <v>57</v>
      </c>
    </row>
    <row r="36" spans="1:19" ht="21" customHeight="1">
      <c r="A36"/>
      <c r="B36"/>
      <c r="C36"/>
      <c r="D36"/>
      <c r="E36"/>
      <c r="F36"/>
      <c r="G36"/>
      <c r="H36"/>
      <c r="I36"/>
      <c r="K36"/>
      <c r="L36"/>
      <c r="M36"/>
      <c r="N36"/>
      <c r="O36"/>
      <c r="P36"/>
      <c r="Q36"/>
      <c r="R36"/>
      <c r="S36"/>
    </row>
    <row r="37" spans="1:19" ht="21" customHeight="1">
      <c r="A37"/>
      <c r="B37"/>
      <c r="C37"/>
      <c r="D37"/>
      <c r="E37"/>
      <c r="F37"/>
      <c r="G37"/>
      <c r="H37"/>
      <c r="I37"/>
      <c r="J37"/>
      <c r="K37"/>
      <c r="L37"/>
      <c r="M37"/>
      <c r="N37"/>
      <c r="O37"/>
      <c r="P37"/>
      <c r="Q37"/>
      <c r="R37"/>
      <c r="S37"/>
    </row>
    <row r="38" spans="1:19" ht="36" customHeight="1">
      <c r="A38"/>
      <c r="B38"/>
      <c r="C38"/>
      <c r="D38"/>
      <c r="E38"/>
      <c r="F38"/>
      <c r="G38"/>
      <c r="H38"/>
      <c r="I38"/>
      <c r="J38"/>
      <c r="K38"/>
      <c r="L38"/>
      <c r="M38"/>
      <c r="N38"/>
      <c r="O38"/>
      <c r="P38"/>
      <c r="Q38"/>
      <c r="R38"/>
      <c r="S38"/>
    </row>
    <row r="39" spans="1:19" ht="36" customHeight="1">
      <c r="A39"/>
      <c r="B39"/>
      <c r="C39"/>
      <c r="D39"/>
      <c r="E39"/>
      <c r="F39"/>
      <c r="G39"/>
      <c r="H39"/>
      <c r="I39"/>
      <c r="J39"/>
      <c r="K39"/>
      <c r="L39"/>
      <c r="M39"/>
      <c r="N39"/>
      <c r="O39"/>
      <c r="P39"/>
      <c r="Q39"/>
      <c r="R39"/>
      <c r="S39"/>
    </row>
    <row r="40" spans="1:19" ht="36" customHeight="1">
      <c r="A40"/>
      <c r="B40"/>
      <c r="C40"/>
      <c r="D40"/>
      <c r="E40"/>
      <c r="F40"/>
      <c r="G40"/>
      <c r="H40"/>
      <c r="I40"/>
      <c r="K40"/>
      <c r="L40"/>
      <c r="M40"/>
      <c r="N40"/>
      <c r="O40"/>
      <c r="P40"/>
      <c r="Q40"/>
      <c r="R40"/>
      <c r="S40"/>
    </row>
    <row r="41" spans="1:19" ht="32.25" customHeight="1">
      <c r="A41"/>
      <c r="B41"/>
      <c r="C41"/>
      <c r="D41"/>
      <c r="E41"/>
      <c r="F41"/>
      <c r="G41"/>
      <c r="H41"/>
      <c r="I41"/>
      <c r="K41"/>
      <c r="L41"/>
      <c r="M41"/>
      <c r="N41"/>
      <c r="O41"/>
      <c r="P41"/>
      <c r="Q41"/>
      <c r="R41"/>
      <c r="S41"/>
    </row>
    <row r="42" spans="1:19">
      <c r="A42"/>
      <c r="B42"/>
      <c r="C42"/>
      <c r="D42"/>
      <c r="E42"/>
      <c r="F42"/>
      <c r="G42"/>
      <c r="H42"/>
      <c r="I42"/>
      <c r="K42"/>
      <c r="L42"/>
      <c r="M42"/>
      <c r="N42"/>
      <c r="O42"/>
      <c r="P42"/>
      <c r="Q42"/>
      <c r="R42"/>
      <c r="S42"/>
    </row>
    <row r="43" spans="1:19">
      <c r="A43"/>
      <c r="B43"/>
      <c r="C43"/>
      <c r="D43"/>
      <c r="E43"/>
      <c r="F43"/>
      <c r="G43"/>
      <c r="H43"/>
      <c r="I43"/>
      <c r="L43"/>
      <c r="M43"/>
      <c r="N43"/>
      <c r="O43"/>
      <c r="P43"/>
      <c r="Q43"/>
      <c r="R43"/>
      <c r="S43"/>
    </row>
    <row r="44" spans="1:19">
      <c r="A44"/>
      <c r="B44"/>
      <c r="C44"/>
      <c r="D44"/>
      <c r="E44"/>
      <c r="F44"/>
      <c r="G44"/>
      <c r="H44"/>
      <c r="I44"/>
    </row>
    <row r="45" spans="1:19">
      <c r="A45"/>
      <c r="K45"/>
    </row>
    <row r="46" spans="1:19">
      <c r="L46"/>
      <c r="M46"/>
      <c r="N46"/>
      <c r="O46"/>
      <c r="P46"/>
      <c r="Q46"/>
      <c r="R46"/>
      <c r="S46"/>
    </row>
  </sheetData>
  <phoneticPr fontId="1"/>
  <printOptions horizontalCentered="1"/>
  <pageMargins left="0.23622047244094491" right="0.23622047244094491" top="0.74803149606299213" bottom="0.74803149606299213" header="0.31496062992125978" footer="0.31496062992125978"/>
  <pageSetup paperSize="9" scale="75" fitToHeight="0" orientation="portrait"/>
  <headerFooter scaleWithDoc="0">
    <oddHeader>&amp;L&amp;9 (有)上野清掃社 
TEL 0595-36-2448&amp;C&amp;14 水曜日金属収集表&amp;R&amp;P/&amp;N</oddHeader>
    <oddFooter>&amp;L&amp;9 西山伸一作成&amp;R&amp;9 &amp;D／&amp;T</oddFooter>
  </headerFooter>
  <colBreaks count="1" manualBreakCount="1">
    <brk id="19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pageSetUpPr fitToPage="1"/>
  </sheetPr>
  <dimension ref="A1:AM48"/>
  <sheetViews>
    <sheetView showGridLines="0" topLeftCell="A16" zoomScale="77" zoomScaleNormal="77" zoomScaleSheetLayoutView="98" zoomScalePageLayoutView="99" workbookViewId="0">
      <selection activeCell="AJ39" sqref="AJ39"/>
    </sheetView>
  </sheetViews>
  <sheetFormatPr baseColWidth="10" defaultColWidth="8.6640625" defaultRowHeight="18"/>
  <cols>
    <col min="1" max="1" width="3.1640625" style="2" customWidth="1"/>
    <col min="2" max="2" width="8.1640625" style="2" customWidth="1"/>
    <col min="3" max="3" width="20.6640625" style="4" customWidth="1"/>
    <col min="4" max="9" width="4.5" style="4" customWidth="1"/>
    <col min="10" max="10" width="3.1640625" style="4" customWidth="1"/>
    <col min="11" max="11" width="3.1640625" style="2" customWidth="1"/>
    <col min="12" max="12" width="8.1640625" style="2" customWidth="1"/>
    <col min="13" max="13" width="20.6640625" style="4" customWidth="1"/>
    <col min="14" max="14" width="4.1640625" style="4" customWidth="1"/>
    <col min="15" max="19" width="4.5" style="4" customWidth="1"/>
    <col min="21" max="21" width="3.1640625" style="227" customWidth="1"/>
    <col min="22" max="22" width="8.1640625" style="227" customWidth="1"/>
    <col min="23" max="23" width="20.6640625" style="227" customWidth="1"/>
    <col min="24" max="29" width="4.5" style="227" customWidth="1"/>
    <col min="30" max="31" width="3.1640625" style="227" customWidth="1"/>
    <col min="32" max="32" width="8.1640625" style="227" customWidth="1"/>
    <col min="33" max="33" width="20.6640625" style="227" customWidth="1"/>
    <col min="34" max="34" width="4.1640625" style="227" customWidth="1"/>
    <col min="35" max="39" width="4.5" style="227" customWidth="1"/>
  </cols>
  <sheetData>
    <row r="1" spans="1:39" s="1" customFormat="1" ht="24.75" customHeight="1">
      <c r="A1" s="13"/>
      <c r="B1" s="13" t="s">
        <v>0</v>
      </c>
      <c r="C1" s="13" t="s">
        <v>637</v>
      </c>
      <c r="D1" s="13"/>
      <c r="E1" s="13" t="s">
        <v>638</v>
      </c>
      <c r="F1" s="13" t="s">
        <v>639</v>
      </c>
      <c r="G1" s="13" t="s">
        <v>640</v>
      </c>
      <c r="H1" s="13" t="s">
        <v>641</v>
      </c>
      <c r="I1" s="13" t="s">
        <v>642</v>
      </c>
      <c r="J1" s="12"/>
      <c r="K1" s="13"/>
      <c r="L1" s="13" t="s">
        <v>0</v>
      </c>
      <c r="M1" s="13" t="s">
        <v>637</v>
      </c>
      <c r="N1" s="13"/>
      <c r="O1" s="13" t="s">
        <v>638</v>
      </c>
      <c r="P1" s="13" t="s">
        <v>639</v>
      </c>
      <c r="Q1" s="13" t="s">
        <v>640</v>
      </c>
      <c r="R1" s="13" t="s">
        <v>641</v>
      </c>
      <c r="S1" s="13" t="s">
        <v>642</v>
      </c>
      <c r="U1" s="13"/>
      <c r="V1" s="13" t="s">
        <v>0</v>
      </c>
      <c r="W1" s="13" t="s">
        <v>637</v>
      </c>
      <c r="X1" s="13"/>
      <c r="Y1" s="13" t="s">
        <v>638</v>
      </c>
      <c r="Z1" s="13" t="s">
        <v>639</v>
      </c>
      <c r="AA1" s="13" t="s">
        <v>640</v>
      </c>
      <c r="AB1" s="13" t="s">
        <v>641</v>
      </c>
      <c r="AC1" s="13" t="s">
        <v>642</v>
      </c>
      <c r="AE1" s="13"/>
      <c r="AF1" s="13" t="s">
        <v>0</v>
      </c>
      <c r="AG1" s="13" t="s">
        <v>637</v>
      </c>
      <c r="AH1" s="13"/>
      <c r="AI1" s="13" t="s">
        <v>638</v>
      </c>
      <c r="AJ1" s="13" t="s">
        <v>639</v>
      </c>
      <c r="AK1" s="13" t="s">
        <v>640</v>
      </c>
      <c r="AL1" s="13" t="s">
        <v>641</v>
      </c>
      <c r="AM1" s="13" t="s">
        <v>642</v>
      </c>
    </row>
    <row r="2" spans="1:39" ht="24.75" customHeight="1">
      <c r="A2" s="7">
        <v>1</v>
      </c>
      <c r="B2" s="14" t="s">
        <v>394</v>
      </c>
      <c r="C2" s="15" t="s">
        <v>643</v>
      </c>
      <c r="D2" s="15"/>
      <c r="E2" s="15">
        <v>1</v>
      </c>
      <c r="F2" s="15">
        <v>2</v>
      </c>
      <c r="G2" s="15">
        <v>3</v>
      </c>
      <c r="H2" s="15">
        <v>4</v>
      </c>
      <c r="I2" s="15">
        <v>5</v>
      </c>
      <c r="K2" s="7">
        <v>34</v>
      </c>
      <c r="L2" s="16" t="s">
        <v>224</v>
      </c>
      <c r="M2" s="9" t="s">
        <v>644</v>
      </c>
      <c r="N2" s="9" t="s">
        <v>645</v>
      </c>
      <c r="O2" s="9">
        <v>1</v>
      </c>
      <c r="P2" s="9">
        <v>2</v>
      </c>
      <c r="Q2" s="9">
        <v>3</v>
      </c>
      <c r="R2" s="9">
        <v>4</v>
      </c>
      <c r="S2" s="9">
        <v>5</v>
      </c>
      <c r="U2" s="7">
        <v>1</v>
      </c>
      <c r="V2" s="14" t="s">
        <v>394</v>
      </c>
      <c r="W2" s="15" t="s">
        <v>643</v>
      </c>
      <c r="X2" s="15"/>
      <c r="Y2" s="15">
        <v>1</v>
      </c>
      <c r="Z2" s="15">
        <v>2</v>
      </c>
      <c r="AA2" s="15">
        <v>3</v>
      </c>
      <c r="AB2" s="15">
        <v>4</v>
      </c>
      <c r="AC2" s="15">
        <v>5</v>
      </c>
      <c r="AE2" s="7">
        <v>34</v>
      </c>
      <c r="AF2" s="16" t="s">
        <v>266</v>
      </c>
      <c r="AG2" s="9" t="s">
        <v>279</v>
      </c>
      <c r="AH2" s="9"/>
      <c r="AI2" s="9">
        <v>1</v>
      </c>
      <c r="AJ2" s="9">
        <v>2</v>
      </c>
      <c r="AK2" s="9">
        <v>3</v>
      </c>
      <c r="AL2" s="9">
        <v>4</v>
      </c>
      <c r="AM2" s="9">
        <v>5</v>
      </c>
    </row>
    <row r="3" spans="1:39" ht="24.75" customHeight="1">
      <c r="A3" s="7">
        <v>2</v>
      </c>
      <c r="B3" s="14" t="s">
        <v>394</v>
      </c>
      <c r="C3" s="15" t="s">
        <v>646</v>
      </c>
      <c r="D3" s="15" t="s">
        <v>104</v>
      </c>
      <c r="E3" s="15">
        <v>1</v>
      </c>
      <c r="F3" s="15">
        <v>2</v>
      </c>
      <c r="G3" s="15">
        <v>3</v>
      </c>
      <c r="H3" s="15">
        <v>4</v>
      </c>
      <c r="I3" s="15">
        <v>5</v>
      </c>
      <c r="K3" s="7">
        <v>35</v>
      </c>
      <c r="L3" s="16" t="s">
        <v>224</v>
      </c>
      <c r="M3" s="9" t="s">
        <v>216</v>
      </c>
      <c r="N3" s="9"/>
      <c r="O3" s="9">
        <v>1</v>
      </c>
      <c r="P3" s="9">
        <v>2</v>
      </c>
      <c r="Q3" s="9">
        <v>3</v>
      </c>
      <c r="R3" s="9">
        <v>4</v>
      </c>
      <c r="S3" s="9">
        <v>5</v>
      </c>
      <c r="U3" s="7">
        <v>2</v>
      </c>
      <c r="V3" s="14" t="s">
        <v>394</v>
      </c>
      <c r="W3" s="15" t="s">
        <v>646</v>
      </c>
      <c r="X3" s="15" t="s">
        <v>104</v>
      </c>
      <c r="Y3" s="15">
        <v>1</v>
      </c>
      <c r="Z3" s="15">
        <v>2</v>
      </c>
      <c r="AA3" s="15">
        <v>3</v>
      </c>
      <c r="AB3" s="15">
        <v>4</v>
      </c>
      <c r="AC3" s="15">
        <v>5</v>
      </c>
      <c r="AE3" s="7">
        <v>35</v>
      </c>
      <c r="AF3" s="16" t="s">
        <v>266</v>
      </c>
      <c r="AG3" s="9" t="s">
        <v>281</v>
      </c>
      <c r="AH3" s="9"/>
      <c r="AI3" s="9">
        <v>1</v>
      </c>
      <c r="AJ3" s="9">
        <v>2</v>
      </c>
      <c r="AK3" s="9">
        <v>3</v>
      </c>
      <c r="AL3" s="9">
        <v>4</v>
      </c>
      <c r="AM3" s="9">
        <v>5</v>
      </c>
    </row>
    <row r="4" spans="1:39" ht="24.75" customHeight="1">
      <c r="A4" s="7">
        <v>3</v>
      </c>
      <c r="B4" s="14" t="s">
        <v>409</v>
      </c>
      <c r="C4" s="15" t="s">
        <v>647</v>
      </c>
      <c r="D4" s="15"/>
      <c r="E4" s="15">
        <v>1</v>
      </c>
      <c r="F4" s="15">
        <v>2</v>
      </c>
      <c r="G4" s="15">
        <v>3</v>
      </c>
      <c r="H4" s="15">
        <v>4</v>
      </c>
      <c r="I4" s="15">
        <v>5</v>
      </c>
      <c r="K4" s="7">
        <v>36</v>
      </c>
      <c r="L4" s="16" t="s">
        <v>224</v>
      </c>
      <c r="M4" s="9" t="s">
        <v>221</v>
      </c>
      <c r="N4" s="9"/>
      <c r="O4" s="9">
        <v>1</v>
      </c>
      <c r="P4" s="9">
        <v>2</v>
      </c>
      <c r="Q4" s="9">
        <v>3</v>
      </c>
      <c r="R4" s="9">
        <v>4</v>
      </c>
      <c r="S4" s="9">
        <v>5</v>
      </c>
      <c r="U4" s="7">
        <v>3</v>
      </c>
      <c r="V4" s="14" t="s">
        <v>409</v>
      </c>
      <c r="W4" s="15" t="s">
        <v>647</v>
      </c>
      <c r="X4" s="15"/>
      <c r="Y4" s="15">
        <v>1</v>
      </c>
      <c r="Z4" s="15">
        <v>2</v>
      </c>
      <c r="AA4" s="15">
        <v>3</v>
      </c>
      <c r="AB4" s="15">
        <v>4</v>
      </c>
      <c r="AC4" s="15">
        <v>5</v>
      </c>
      <c r="AE4" s="7">
        <v>36</v>
      </c>
      <c r="AF4" s="16" t="s">
        <v>266</v>
      </c>
      <c r="AG4" s="9" t="s">
        <v>290</v>
      </c>
      <c r="AH4" s="9"/>
      <c r="AI4" s="9">
        <v>1</v>
      </c>
      <c r="AJ4" s="9">
        <v>2</v>
      </c>
      <c r="AK4" s="9">
        <v>3</v>
      </c>
      <c r="AL4" s="9">
        <v>4</v>
      </c>
      <c r="AM4" s="9">
        <v>5</v>
      </c>
    </row>
    <row r="5" spans="1:39" ht="24.75" customHeight="1">
      <c r="A5" s="7">
        <v>4</v>
      </c>
      <c r="B5" s="14" t="s">
        <v>409</v>
      </c>
      <c r="C5" s="15" t="s">
        <v>414</v>
      </c>
      <c r="D5" s="15"/>
      <c r="E5" s="15">
        <v>1</v>
      </c>
      <c r="F5" s="15">
        <v>2</v>
      </c>
      <c r="G5" s="15">
        <v>3</v>
      </c>
      <c r="H5" s="15">
        <v>4</v>
      </c>
      <c r="I5" s="15">
        <v>5</v>
      </c>
      <c r="K5" s="7">
        <v>37</v>
      </c>
      <c r="L5" s="16" t="s">
        <v>224</v>
      </c>
      <c r="M5" s="9" t="s">
        <v>212</v>
      </c>
      <c r="N5" s="9"/>
      <c r="O5" s="9">
        <v>1</v>
      </c>
      <c r="P5" s="9">
        <v>2</v>
      </c>
      <c r="Q5" s="9">
        <v>3</v>
      </c>
      <c r="R5" s="9">
        <v>4</v>
      </c>
      <c r="S5" s="9">
        <v>5</v>
      </c>
      <c r="U5" s="7">
        <v>4</v>
      </c>
      <c r="V5" s="14" t="s">
        <v>409</v>
      </c>
      <c r="W5" s="15" t="s">
        <v>414</v>
      </c>
      <c r="X5" s="15"/>
      <c r="Y5" s="15">
        <v>1</v>
      </c>
      <c r="Z5" s="15">
        <v>2</v>
      </c>
      <c r="AA5" s="15">
        <v>3</v>
      </c>
      <c r="AB5" s="15">
        <v>4</v>
      </c>
      <c r="AC5" s="15">
        <v>5</v>
      </c>
      <c r="AE5" s="7">
        <v>37</v>
      </c>
      <c r="AF5" s="16" t="s">
        <v>266</v>
      </c>
      <c r="AG5" s="9" t="s">
        <v>296</v>
      </c>
      <c r="AH5" s="9"/>
      <c r="AI5" s="9">
        <v>1</v>
      </c>
      <c r="AJ5" s="9">
        <v>2</v>
      </c>
      <c r="AK5" s="9">
        <v>3</v>
      </c>
      <c r="AL5" s="9">
        <v>4</v>
      </c>
      <c r="AM5" s="9">
        <v>5</v>
      </c>
    </row>
    <row r="6" spans="1:39" ht="24.75" customHeight="1">
      <c r="A6" s="7">
        <v>5</v>
      </c>
      <c r="B6" s="16" t="s">
        <v>25</v>
      </c>
      <c r="C6" s="9" t="s">
        <v>35</v>
      </c>
      <c r="D6" s="9"/>
      <c r="E6" s="9"/>
      <c r="F6" s="9"/>
      <c r="G6" s="9"/>
      <c r="H6" s="9">
        <v>4</v>
      </c>
      <c r="I6" s="9"/>
      <c r="K6" s="7">
        <v>38</v>
      </c>
      <c r="L6" s="7" t="s">
        <v>224</v>
      </c>
      <c r="M6" s="8" t="s">
        <v>630</v>
      </c>
      <c r="N6" s="8"/>
      <c r="O6" s="8">
        <v>1</v>
      </c>
      <c r="P6" s="8">
        <v>2</v>
      </c>
      <c r="Q6" s="8">
        <v>3</v>
      </c>
      <c r="R6" s="8">
        <v>4</v>
      </c>
      <c r="S6" s="8">
        <v>5</v>
      </c>
      <c r="U6" s="7">
        <v>5</v>
      </c>
      <c r="V6" s="16" t="s">
        <v>25</v>
      </c>
      <c r="W6" s="9" t="s">
        <v>35</v>
      </c>
      <c r="X6" s="9"/>
      <c r="Y6" s="9"/>
      <c r="Z6" s="9"/>
      <c r="AA6" s="9"/>
      <c r="AB6" s="9">
        <v>4</v>
      </c>
      <c r="AC6" s="9"/>
      <c r="AE6" s="7">
        <v>38</v>
      </c>
      <c r="AF6" s="16" t="s">
        <v>266</v>
      </c>
      <c r="AG6" s="9" t="s">
        <v>648</v>
      </c>
      <c r="AH6" s="9" t="s">
        <v>645</v>
      </c>
      <c r="AI6" s="9">
        <v>1</v>
      </c>
      <c r="AJ6" s="9">
        <v>2</v>
      </c>
      <c r="AK6" s="9">
        <v>3</v>
      </c>
      <c r="AL6" s="9">
        <v>4</v>
      </c>
      <c r="AM6" s="9">
        <v>5</v>
      </c>
    </row>
    <row r="7" spans="1:39" ht="24.75" customHeight="1">
      <c r="A7" s="7">
        <v>6</v>
      </c>
      <c r="B7" s="16" t="s">
        <v>25</v>
      </c>
      <c r="C7" s="9" t="s">
        <v>45</v>
      </c>
      <c r="D7" s="9"/>
      <c r="E7" s="9">
        <v>1</v>
      </c>
      <c r="F7" s="9">
        <v>2</v>
      </c>
      <c r="G7" s="9">
        <v>3</v>
      </c>
      <c r="H7" s="9">
        <v>4</v>
      </c>
      <c r="I7" s="9">
        <v>5</v>
      </c>
      <c r="K7" s="7">
        <v>39</v>
      </c>
      <c r="L7" s="7" t="s">
        <v>224</v>
      </c>
      <c r="M7" s="8" t="s">
        <v>649</v>
      </c>
      <c r="N7" s="8"/>
      <c r="O7" s="8">
        <v>1</v>
      </c>
      <c r="P7" s="8">
        <v>2</v>
      </c>
      <c r="Q7" s="8">
        <v>3</v>
      </c>
      <c r="R7" s="8">
        <v>4</v>
      </c>
      <c r="S7" s="8">
        <v>5</v>
      </c>
      <c r="U7" s="7">
        <v>6</v>
      </c>
      <c r="V7" s="16" t="s">
        <v>25</v>
      </c>
      <c r="W7" s="9" t="s">
        <v>45</v>
      </c>
      <c r="X7" s="9"/>
      <c r="Y7" s="9">
        <v>1</v>
      </c>
      <c r="Z7" s="9">
        <v>2</v>
      </c>
      <c r="AA7" s="9">
        <v>3</v>
      </c>
      <c r="AB7" s="9">
        <v>4</v>
      </c>
      <c r="AC7" s="9">
        <v>5</v>
      </c>
      <c r="AE7" s="7">
        <v>39</v>
      </c>
      <c r="AF7" s="17" t="s">
        <v>316</v>
      </c>
      <c r="AG7" s="10" t="s">
        <v>650</v>
      </c>
      <c r="AH7" s="10"/>
      <c r="AI7" s="10">
        <v>1</v>
      </c>
      <c r="AJ7" s="10">
        <v>2</v>
      </c>
      <c r="AK7" s="10">
        <v>3</v>
      </c>
      <c r="AL7" s="10">
        <v>4</v>
      </c>
      <c r="AM7" s="10">
        <v>5</v>
      </c>
    </row>
    <row r="8" spans="1:39" ht="24.75" customHeight="1">
      <c r="A8" s="7">
        <v>7</v>
      </c>
      <c r="B8" s="16" t="s">
        <v>25</v>
      </c>
      <c r="C8" s="9" t="s">
        <v>651</v>
      </c>
      <c r="D8" s="9" t="s">
        <v>645</v>
      </c>
      <c r="E8" s="9">
        <v>1</v>
      </c>
      <c r="F8" s="9">
        <v>2</v>
      </c>
      <c r="G8" s="9">
        <v>3</v>
      </c>
      <c r="H8" s="9">
        <v>4</v>
      </c>
      <c r="I8" s="9">
        <v>5</v>
      </c>
      <c r="K8" s="7">
        <v>40</v>
      </c>
      <c r="L8" s="7" t="s">
        <v>224</v>
      </c>
      <c r="M8" s="8" t="s">
        <v>652</v>
      </c>
      <c r="N8" s="8" t="s">
        <v>645</v>
      </c>
      <c r="O8" s="8">
        <v>1</v>
      </c>
      <c r="P8" s="8">
        <v>2</v>
      </c>
      <c r="Q8" s="8">
        <v>3</v>
      </c>
      <c r="R8" s="8">
        <v>4</v>
      </c>
      <c r="S8" s="8">
        <v>5</v>
      </c>
      <c r="U8" s="7">
        <v>7</v>
      </c>
      <c r="V8" s="16" t="s">
        <v>25</v>
      </c>
      <c r="W8" s="9" t="s">
        <v>651</v>
      </c>
      <c r="X8" s="9" t="s">
        <v>645</v>
      </c>
      <c r="Y8" s="9">
        <v>1</v>
      </c>
      <c r="Z8" s="9">
        <v>2</v>
      </c>
      <c r="AA8" s="9">
        <v>3</v>
      </c>
      <c r="AB8" s="9">
        <v>4</v>
      </c>
      <c r="AC8" s="9">
        <v>5</v>
      </c>
      <c r="AE8" s="7">
        <v>40</v>
      </c>
      <c r="AF8" s="16" t="s">
        <v>316</v>
      </c>
      <c r="AG8" s="9" t="s">
        <v>317</v>
      </c>
      <c r="AH8" s="9"/>
      <c r="AI8" s="9">
        <v>1</v>
      </c>
      <c r="AJ8" s="9"/>
      <c r="AK8" s="9">
        <v>3</v>
      </c>
      <c r="AL8" s="9"/>
      <c r="AM8" s="9"/>
    </row>
    <row r="9" spans="1:39" ht="24.75" customHeight="1">
      <c r="A9" s="7">
        <v>8</v>
      </c>
      <c r="B9" s="16" t="s">
        <v>25</v>
      </c>
      <c r="C9" s="9" t="s">
        <v>653</v>
      </c>
      <c r="D9" s="9" t="s">
        <v>645</v>
      </c>
      <c r="E9" s="9">
        <v>1</v>
      </c>
      <c r="F9" s="9">
        <v>2</v>
      </c>
      <c r="G9" s="9">
        <v>3</v>
      </c>
      <c r="H9" s="9">
        <v>4</v>
      </c>
      <c r="I9" s="9">
        <v>5</v>
      </c>
      <c r="K9" s="7">
        <v>41</v>
      </c>
      <c r="L9" s="7" t="s">
        <v>224</v>
      </c>
      <c r="M9" s="8" t="s">
        <v>654</v>
      </c>
      <c r="N9" s="8"/>
      <c r="O9" s="8">
        <v>1</v>
      </c>
      <c r="P9" s="8">
        <v>2</v>
      </c>
      <c r="Q9" s="8">
        <v>3</v>
      </c>
      <c r="R9" s="8">
        <v>4</v>
      </c>
      <c r="S9" s="8">
        <v>5</v>
      </c>
      <c r="U9" s="7">
        <v>8</v>
      </c>
      <c r="V9" s="16" t="s">
        <v>25</v>
      </c>
      <c r="W9" s="9" t="s">
        <v>653</v>
      </c>
      <c r="X9" s="9" t="s">
        <v>645</v>
      </c>
      <c r="Y9" s="9">
        <v>1</v>
      </c>
      <c r="Z9" s="9">
        <v>2</v>
      </c>
      <c r="AA9" s="9">
        <v>3</v>
      </c>
      <c r="AB9" s="9">
        <v>4</v>
      </c>
      <c r="AC9" s="9">
        <v>5</v>
      </c>
      <c r="AE9" s="7">
        <v>41</v>
      </c>
      <c r="AF9" s="16" t="s">
        <v>316</v>
      </c>
      <c r="AG9" s="9" t="s">
        <v>319</v>
      </c>
      <c r="AH9" s="9"/>
      <c r="AI9" s="9">
        <v>1</v>
      </c>
      <c r="AJ9" s="9">
        <v>2</v>
      </c>
      <c r="AK9" s="9">
        <v>3</v>
      </c>
      <c r="AL9" s="9">
        <v>4</v>
      </c>
      <c r="AM9" s="9">
        <v>5</v>
      </c>
    </row>
    <row r="10" spans="1:39" ht="24.75" customHeight="1">
      <c r="A10" s="7">
        <v>9</v>
      </c>
      <c r="B10" s="16" t="s">
        <v>25</v>
      </c>
      <c r="C10" s="9" t="s">
        <v>655</v>
      </c>
      <c r="D10" s="9"/>
      <c r="E10" s="9"/>
      <c r="F10" s="9"/>
      <c r="G10" s="9"/>
      <c r="H10" s="9">
        <v>4</v>
      </c>
      <c r="I10" s="9"/>
      <c r="K10" s="7">
        <v>42</v>
      </c>
      <c r="L10" s="16" t="s">
        <v>459</v>
      </c>
      <c r="M10" s="9" t="s">
        <v>467</v>
      </c>
      <c r="N10" s="9"/>
      <c r="O10" s="9">
        <v>1</v>
      </c>
      <c r="P10" s="9">
        <v>2</v>
      </c>
      <c r="Q10" s="9">
        <v>3</v>
      </c>
      <c r="R10" s="9">
        <v>4</v>
      </c>
      <c r="S10" s="9">
        <v>5</v>
      </c>
      <c r="U10" s="7">
        <v>9</v>
      </c>
      <c r="V10" s="16" t="s">
        <v>25</v>
      </c>
      <c r="W10" s="9" t="s">
        <v>655</v>
      </c>
      <c r="X10" s="9"/>
      <c r="Y10" s="9"/>
      <c r="Z10" s="9"/>
      <c r="AA10" s="9"/>
      <c r="AB10" s="9">
        <v>4</v>
      </c>
      <c r="AC10" s="9"/>
      <c r="AE10" s="7">
        <v>42</v>
      </c>
      <c r="AF10" s="17" t="s">
        <v>316</v>
      </c>
      <c r="AG10" s="10" t="s">
        <v>327</v>
      </c>
      <c r="AH10" s="10"/>
      <c r="AI10" s="10">
        <v>1</v>
      </c>
      <c r="AJ10" s="10">
        <v>2</v>
      </c>
      <c r="AK10" s="10">
        <v>3</v>
      </c>
      <c r="AL10" s="10">
        <v>4</v>
      </c>
      <c r="AM10" s="10">
        <v>5</v>
      </c>
    </row>
    <row r="11" spans="1:39" ht="24.75" customHeight="1">
      <c r="A11" s="7">
        <v>10</v>
      </c>
      <c r="B11" s="16" t="s">
        <v>25</v>
      </c>
      <c r="C11" s="9" t="s">
        <v>604</v>
      </c>
      <c r="D11" s="9"/>
      <c r="E11" s="9">
        <v>1</v>
      </c>
      <c r="F11" s="9">
        <v>2</v>
      </c>
      <c r="G11" s="9">
        <v>3</v>
      </c>
      <c r="H11" s="9">
        <v>4</v>
      </c>
      <c r="I11" s="9">
        <v>5</v>
      </c>
      <c r="K11" s="7">
        <v>43</v>
      </c>
      <c r="L11" s="16" t="s">
        <v>459</v>
      </c>
      <c r="M11" s="9" t="s">
        <v>656</v>
      </c>
      <c r="N11" s="9"/>
      <c r="O11" s="9">
        <v>1</v>
      </c>
      <c r="P11" s="9">
        <v>2</v>
      </c>
      <c r="Q11" s="9">
        <v>3</v>
      </c>
      <c r="R11" s="9">
        <v>4</v>
      </c>
      <c r="S11" s="9">
        <v>5</v>
      </c>
      <c r="U11" s="7">
        <v>10</v>
      </c>
      <c r="V11" s="16" t="s">
        <v>25</v>
      </c>
      <c r="W11" s="9" t="s">
        <v>604</v>
      </c>
      <c r="X11" s="9"/>
      <c r="Y11" s="9">
        <v>1</v>
      </c>
      <c r="Z11" s="9">
        <v>2</v>
      </c>
      <c r="AA11" s="9">
        <v>3</v>
      </c>
      <c r="AB11" s="9">
        <v>4</v>
      </c>
      <c r="AC11" s="9">
        <v>5</v>
      </c>
      <c r="AE11" s="7">
        <v>43</v>
      </c>
      <c r="AF11" s="16" t="s">
        <v>341</v>
      </c>
      <c r="AG11" s="9" t="s">
        <v>657</v>
      </c>
      <c r="AH11" s="9"/>
      <c r="AI11" s="9">
        <v>1</v>
      </c>
      <c r="AJ11" s="9">
        <v>2</v>
      </c>
      <c r="AK11" s="9">
        <v>3</v>
      </c>
      <c r="AL11" s="9">
        <v>4</v>
      </c>
      <c r="AM11" s="9">
        <v>5</v>
      </c>
    </row>
    <row r="12" spans="1:39" ht="24.75" customHeight="1">
      <c r="A12" s="7">
        <v>11</v>
      </c>
      <c r="B12" s="7" t="s">
        <v>115</v>
      </c>
      <c r="C12" s="30" t="s">
        <v>128</v>
      </c>
      <c r="D12" s="8"/>
      <c r="E12" s="8">
        <v>1</v>
      </c>
      <c r="F12" s="8"/>
      <c r="G12" s="8">
        <v>3</v>
      </c>
      <c r="H12" s="8"/>
      <c r="I12" s="8"/>
      <c r="K12" s="7">
        <v>44</v>
      </c>
      <c r="L12" s="16" t="s">
        <v>459</v>
      </c>
      <c r="M12" s="9" t="s">
        <v>477</v>
      </c>
      <c r="N12" s="9"/>
      <c r="O12" s="9">
        <v>1</v>
      </c>
      <c r="P12" s="9">
        <v>2</v>
      </c>
      <c r="Q12" s="9">
        <v>3</v>
      </c>
      <c r="R12" s="9">
        <v>4</v>
      </c>
      <c r="S12" s="9">
        <v>5</v>
      </c>
      <c r="U12" s="7">
        <v>11</v>
      </c>
      <c r="V12" s="7" t="s">
        <v>504</v>
      </c>
      <c r="W12" s="8" t="s">
        <v>547</v>
      </c>
      <c r="X12" s="8"/>
      <c r="Y12" s="8">
        <v>1</v>
      </c>
      <c r="Z12" s="8">
        <v>2</v>
      </c>
      <c r="AA12" s="8">
        <v>3</v>
      </c>
      <c r="AB12" s="8">
        <v>4</v>
      </c>
      <c r="AC12" s="8">
        <v>5</v>
      </c>
      <c r="AE12" s="7">
        <v>44</v>
      </c>
      <c r="AF12" s="17" t="s">
        <v>341</v>
      </c>
      <c r="AG12" s="10" t="s">
        <v>658</v>
      </c>
      <c r="AH12" s="10"/>
      <c r="AI12" s="10">
        <v>1</v>
      </c>
      <c r="AJ12" s="10">
        <v>2</v>
      </c>
      <c r="AK12" s="10">
        <v>3</v>
      </c>
      <c r="AL12" s="10">
        <v>4</v>
      </c>
      <c r="AM12" s="10">
        <v>5</v>
      </c>
    </row>
    <row r="13" spans="1:39" ht="24.75" customHeight="1">
      <c r="A13" s="7">
        <v>12</v>
      </c>
      <c r="B13" s="28" t="s">
        <v>115</v>
      </c>
      <c r="C13" s="7" t="s">
        <v>135</v>
      </c>
      <c r="D13" s="29"/>
      <c r="E13" s="8">
        <v>1</v>
      </c>
      <c r="F13" s="8">
        <v>2</v>
      </c>
      <c r="G13" s="8">
        <v>3</v>
      </c>
      <c r="H13" s="8">
        <v>4</v>
      </c>
      <c r="I13" s="8">
        <v>5</v>
      </c>
      <c r="K13" s="7">
        <v>45</v>
      </c>
      <c r="L13" s="16" t="s">
        <v>459</v>
      </c>
      <c r="M13" s="9" t="s">
        <v>659</v>
      </c>
      <c r="N13" s="9"/>
      <c r="O13" s="9">
        <v>1</v>
      </c>
      <c r="P13" s="9">
        <v>2</v>
      </c>
      <c r="Q13" s="9">
        <v>3</v>
      </c>
      <c r="R13" s="9">
        <v>4</v>
      </c>
      <c r="S13" s="9">
        <v>5</v>
      </c>
      <c r="U13" s="7">
        <v>12</v>
      </c>
      <c r="V13" s="7" t="s">
        <v>504</v>
      </c>
      <c r="W13" s="8" t="s">
        <v>660</v>
      </c>
      <c r="X13" s="8"/>
      <c r="Y13" s="8">
        <v>1</v>
      </c>
      <c r="Z13" s="8">
        <v>2</v>
      </c>
      <c r="AA13" s="8">
        <v>3</v>
      </c>
      <c r="AB13" s="8">
        <v>4</v>
      </c>
      <c r="AC13" s="8">
        <v>5</v>
      </c>
      <c r="AE13" s="7">
        <v>45</v>
      </c>
      <c r="AF13" s="17" t="s">
        <v>341</v>
      </c>
      <c r="AG13" s="10" t="s">
        <v>661</v>
      </c>
      <c r="AH13" s="10"/>
      <c r="AI13" s="10">
        <v>1</v>
      </c>
      <c r="AJ13" s="10">
        <v>2</v>
      </c>
      <c r="AK13" s="10">
        <v>3</v>
      </c>
      <c r="AL13" s="10">
        <v>4</v>
      </c>
      <c r="AM13" s="10">
        <v>5</v>
      </c>
    </row>
    <row r="14" spans="1:39" ht="24.75" customHeight="1">
      <c r="A14" s="7">
        <v>13</v>
      </c>
      <c r="B14" s="7" t="s">
        <v>115</v>
      </c>
      <c r="C14" s="31" t="s">
        <v>160</v>
      </c>
      <c r="D14" s="8"/>
      <c r="E14" s="8">
        <v>1</v>
      </c>
      <c r="F14" s="8"/>
      <c r="G14" s="8"/>
      <c r="H14" s="8"/>
      <c r="I14" s="8"/>
      <c r="K14" s="7">
        <v>46</v>
      </c>
      <c r="L14" s="7" t="s">
        <v>481</v>
      </c>
      <c r="M14" s="8" t="s">
        <v>486</v>
      </c>
      <c r="N14" s="8"/>
      <c r="O14" s="8">
        <v>1</v>
      </c>
      <c r="P14" s="8">
        <v>2</v>
      </c>
      <c r="Q14" s="8">
        <v>3</v>
      </c>
      <c r="R14" s="8">
        <v>4</v>
      </c>
      <c r="S14" s="8">
        <v>5</v>
      </c>
      <c r="U14" s="7">
        <v>13</v>
      </c>
      <c r="V14" s="7" t="s">
        <v>504</v>
      </c>
      <c r="W14" s="8" t="s">
        <v>543</v>
      </c>
      <c r="X14" s="8"/>
      <c r="Y14" s="8">
        <v>1</v>
      </c>
      <c r="Z14" s="8">
        <v>2</v>
      </c>
      <c r="AA14" s="8">
        <v>3</v>
      </c>
      <c r="AB14" s="8">
        <v>4</v>
      </c>
      <c r="AC14" s="8">
        <v>5</v>
      </c>
      <c r="AE14" s="7">
        <v>46</v>
      </c>
      <c r="AF14" s="16" t="s">
        <v>341</v>
      </c>
      <c r="AG14" s="9" t="s">
        <v>662</v>
      </c>
      <c r="AH14" s="9" t="s">
        <v>645</v>
      </c>
      <c r="AI14" s="9">
        <v>1</v>
      </c>
      <c r="AJ14" s="9">
        <v>2</v>
      </c>
      <c r="AK14" s="9">
        <v>3</v>
      </c>
      <c r="AL14" s="9">
        <v>4</v>
      </c>
      <c r="AM14" s="9">
        <v>5</v>
      </c>
    </row>
    <row r="15" spans="1:39" ht="24.75" customHeight="1">
      <c r="A15" s="7">
        <v>14</v>
      </c>
      <c r="B15" s="7" t="s">
        <v>115</v>
      </c>
      <c r="C15" s="8" t="s">
        <v>155</v>
      </c>
      <c r="D15" s="8"/>
      <c r="E15" s="8">
        <v>1</v>
      </c>
      <c r="F15" s="8"/>
      <c r="G15" s="8"/>
      <c r="H15" s="8"/>
      <c r="I15" s="8"/>
      <c r="K15" s="7">
        <v>47</v>
      </c>
      <c r="L15" s="7" t="s">
        <v>481</v>
      </c>
      <c r="M15" s="8" t="s">
        <v>491</v>
      </c>
      <c r="N15" s="8"/>
      <c r="O15" s="8">
        <v>1</v>
      </c>
      <c r="P15" s="8">
        <v>2</v>
      </c>
      <c r="Q15" s="8">
        <v>3</v>
      </c>
      <c r="R15" s="8">
        <v>4</v>
      </c>
      <c r="S15" s="8">
        <v>5</v>
      </c>
      <c r="U15" s="7">
        <v>14</v>
      </c>
      <c r="V15" s="7" t="s">
        <v>504</v>
      </c>
      <c r="W15" s="8" t="s">
        <v>539</v>
      </c>
      <c r="X15" s="8"/>
      <c r="Y15" s="8">
        <v>1</v>
      </c>
      <c r="Z15" s="8">
        <v>2</v>
      </c>
      <c r="AA15" s="8">
        <v>3</v>
      </c>
      <c r="AB15" s="8">
        <v>4</v>
      </c>
      <c r="AC15" s="8">
        <v>5</v>
      </c>
      <c r="AE15" s="7">
        <v>47</v>
      </c>
      <c r="AF15" s="16" t="s">
        <v>341</v>
      </c>
      <c r="AG15" s="9" t="s">
        <v>368</v>
      </c>
      <c r="AH15" s="9"/>
      <c r="AI15" s="9">
        <v>1</v>
      </c>
      <c r="AJ15" s="9">
        <v>2</v>
      </c>
      <c r="AK15" s="9">
        <v>3</v>
      </c>
      <c r="AL15" s="9">
        <v>4</v>
      </c>
      <c r="AM15" s="9">
        <v>5</v>
      </c>
    </row>
    <row r="16" spans="1:39" ht="24.75" customHeight="1">
      <c r="A16" s="7">
        <v>15</v>
      </c>
      <c r="B16" s="7" t="s">
        <v>115</v>
      </c>
      <c r="C16" s="8" t="s">
        <v>183</v>
      </c>
      <c r="D16" s="8"/>
      <c r="E16" s="8">
        <v>1</v>
      </c>
      <c r="F16" s="8">
        <v>2</v>
      </c>
      <c r="G16" s="8">
        <v>3</v>
      </c>
      <c r="H16" s="8">
        <v>4</v>
      </c>
      <c r="I16" s="8">
        <v>5</v>
      </c>
      <c r="K16" s="7">
        <v>48</v>
      </c>
      <c r="L16" s="7" t="s">
        <v>481</v>
      </c>
      <c r="M16" s="8" t="s">
        <v>490</v>
      </c>
      <c r="N16" s="8"/>
      <c r="O16" s="8">
        <v>1</v>
      </c>
      <c r="P16" s="8">
        <v>2</v>
      </c>
      <c r="Q16" s="8">
        <v>3</v>
      </c>
      <c r="R16" s="8">
        <v>4</v>
      </c>
      <c r="S16" s="8">
        <v>5</v>
      </c>
      <c r="U16" s="7">
        <v>15</v>
      </c>
      <c r="V16" s="7" t="s">
        <v>504</v>
      </c>
      <c r="W16" s="8" t="s">
        <v>663</v>
      </c>
      <c r="X16" s="8"/>
      <c r="Y16" s="8">
        <v>1</v>
      </c>
      <c r="Z16" s="8">
        <v>2</v>
      </c>
      <c r="AA16" s="8">
        <v>3</v>
      </c>
      <c r="AB16" s="8">
        <v>4</v>
      </c>
      <c r="AC16" s="8">
        <v>5</v>
      </c>
      <c r="AE16" s="7">
        <v>48</v>
      </c>
      <c r="AF16" s="7" t="s">
        <v>481</v>
      </c>
      <c r="AG16" s="8" t="s">
        <v>486</v>
      </c>
      <c r="AH16" s="8"/>
      <c r="AI16" s="8">
        <v>1</v>
      </c>
      <c r="AJ16" s="8">
        <v>2</v>
      </c>
      <c r="AK16" s="8">
        <v>3</v>
      </c>
      <c r="AL16" s="8">
        <v>4</v>
      </c>
      <c r="AM16" s="8">
        <v>5</v>
      </c>
    </row>
    <row r="17" spans="1:39" ht="24.75" customHeight="1">
      <c r="A17" s="7">
        <v>16</v>
      </c>
      <c r="B17" s="7" t="s">
        <v>115</v>
      </c>
      <c r="C17" s="8" t="s">
        <v>664</v>
      </c>
      <c r="D17" s="8"/>
      <c r="E17" s="8">
        <v>1</v>
      </c>
      <c r="F17" s="8">
        <v>2</v>
      </c>
      <c r="G17" s="8">
        <v>3</v>
      </c>
      <c r="H17" s="8">
        <v>4</v>
      </c>
      <c r="I17" s="8">
        <v>5</v>
      </c>
      <c r="K17" s="7">
        <v>49</v>
      </c>
      <c r="L17" s="7" t="s">
        <v>481</v>
      </c>
      <c r="M17" s="8" t="s">
        <v>493</v>
      </c>
      <c r="N17" s="8"/>
      <c r="O17" s="8">
        <v>1</v>
      </c>
      <c r="P17" s="8">
        <v>2</v>
      </c>
      <c r="Q17" s="8">
        <v>3</v>
      </c>
      <c r="R17" s="8">
        <v>4</v>
      </c>
      <c r="S17" s="8">
        <v>5</v>
      </c>
      <c r="U17" s="7">
        <v>16</v>
      </c>
      <c r="V17" s="7" t="s">
        <v>504</v>
      </c>
      <c r="W17" s="8" t="s">
        <v>533</v>
      </c>
      <c r="X17" s="8"/>
      <c r="Y17" s="8">
        <v>1</v>
      </c>
      <c r="Z17" s="8">
        <v>2</v>
      </c>
      <c r="AA17" s="8">
        <v>3</v>
      </c>
      <c r="AB17" s="8">
        <v>4</v>
      </c>
      <c r="AC17" s="8">
        <v>5</v>
      </c>
      <c r="AE17" s="7">
        <v>49</v>
      </c>
      <c r="AF17" s="7" t="s">
        <v>481</v>
      </c>
      <c r="AG17" s="8" t="s">
        <v>491</v>
      </c>
      <c r="AH17" s="8"/>
      <c r="AI17" s="8">
        <v>1</v>
      </c>
      <c r="AJ17" s="8">
        <v>2</v>
      </c>
      <c r="AK17" s="8">
        <v>3</v>
      </c>
      <c r="AL17" s="8">
        <v>4</v>
      </c>
      <c r="AM17" s="8">
        <v>5</v>
      </c>
    </row>
    <row r="18" spans="1:39" ht="24.75" customHeight="1">
      <c r="A18" s="7">
        <v>17</v>
      </c>
      <c r="B18" s="7" t="s">
        <v>115</v>
      </c>
      <c r="C18" s="8" t="s">
        <v>180</v>
      </c>
      <c r="D18" s="8"/>
      <c r="E18" s="8">
        <v>1</v>
      </c>
      <c r="F18" s="8">
        <v>2</v>
      </c>
      <c r="G18" s="8">
        <v>3</v>
      </c>
      <c r="H18" s="8">
        <v>4</v>
      </c>
      <c r="I18" s="8">
        <v>5</v>
      </c>
      <c r="K18" s="7">
        <v>50</v>
      </c>
      <c r="L18" s="7" t="s">
        <v>481</v>
      </c>
      <c r="M18" s="8" t="s">
        <v>665</v>
      </c>
      <c r="N18" s="8"/>
      <c r="O18" s="8">
        <v>1</v>
      </c>
      <c r="P18" s="8"/>
      <c r="Q18" s="8">
        <v>3</v>
      </c>
      <c r="R18" s="8"/>
      <c r="S18" s="8"/>
      <c r="U18" s="7">
        <v>17</v>
      </c>
      <c r="V18" s="7" t="s">
        <v>504</v>
      </c>
      <c r="W18" s="8" t="s">
        <v>564</v>
      </c>
      <c r="X18" s="8"/>
      <c r="Y18" s="8">
        <v>1</v>
      </c>
      <c r="Z18" s="8"/>
      <c r="AA18" s="8">
        <v>3</v>
      </c>
      <c r="AB18" s="8"/>
      <c r="AC18" s="8">
        <v>5</v>
      </c>
      <c r="AE18" s="7">
        <v>50</v>
      </c>
      <c r="AF18" s="7" t="s">
        <v>481</v>
      </c>
      <c r="AG18" s="8" t="s">
        <v>490</v>
      </c>
      <c r="AH18" s="8"/>
      <c r="AI18" s="8">
        <v>1</v>
      </c>
      <c r="AJ18" s="8">
        <v>2</v>
      </c>
      <c r="AK18" s="8">
        <v>3</v>
      </c>
      <c r="AL18" s="8">
        <v>4</v>
      </c>
      <c r="AM18" s="8">
        <v>5</v>
      </c>
    </row>
    <row r="19" spans="1:39" ht="24.75" customHeight="1">
      <c r="A19" s="7">
        <v>18</v>
      </c>
      <c r="B19" s="7" t="s">
        <v>115</v>
      </c>
      <c r="C19" s="8" t="s">
        <v>181</v>
      </c>
      <c r="D19" s="8"/>
      <c r="E19" s="8">
        <v>1</v>
      </c>
      <c r="F19" s="8">
        <v>2</v>
      </c>
      <c r="G19" s="8">
        <v>3</v>
      </c>
      <c r="H19" s="8">
        <v>4</v>
      </c>
      <c r="I19" s="8">
        <v>5</v>
      </c>
      <c r="K19" s="7">
        <v>51</v>
      </c>
      <c r="L19" s="7" t="s">
        <v>481</v>
      </c>
      <c r="M19" s="8" t="s">
        <v>497</v>
      </c>
      <c r="N19" s="8"/>
      <c r="O19" s="8">
        <v>1</v>
      </c>
      <c r="P19" s="8"/>
      <c r="Q19" s="8">
        <v>3</v>
      </c>
      <c r="R19" s="8"/>
      <c r="S19" s="8"/>
      <c r="U19" s="7">
        <v>18</v>
      </c>
      <c r="V19" s="7" t="s">
        <v>504</v>
      </c>
      <c r="W19" s="8" t="s">
        <v>522</v>
      </c>
      <c r="X19" s="8"/>
      <c r="Y19" s="8">
        <v>1</v>
      </c>
      <c r="Z19" s="8">
        <v>2</v>
      </c>
      <c r="AA19" s="8">
        <v>3</v>
      </c>
      <c r="AB19" s="8">
        <v>4</v>
      </c>
      <c r="AC19" s="8">
        <v>5</v>
      </c>
      <c r="AE19" s="7">
        <v>51</v>
      </c>
      <c r="AF19" s="7" t="s">
        <v>481</v>
      </c>
      <c r="AG19" s="8" t="s">
        <v>493</v>
      </c>
      <c r="AH19" s="8"/>
      <c r="AI19" s="8">
        <v>1</v>
      </c>
      <c r="AJ19" s="8">
        <v>2</v>
      </c>
      <c r="AK19" s="8">
        <v>3</v>
      </c>
      <c r="AL19" s="8">
        <v>4</v>
      </c>
      <c r="AM19" s="8">
        <v>5</v>
      </c>
    </row>
    <row r="20" spans="1:39" ht="24.75" customHeight="1">
      <c r="A20" s="7">
        <v>19</v>
      </c>
      <c r="B20" s="7" t="s">
        <v>115</v>
      </c>
      <c r="C20" s="8" t="s">
        <v>167</v>
      </c>
      <c r="D20" s="8"/>
      <c r="E20" s="8">
        <v>1</v>
      </c>
      <c r="F20" s="8">
        <v>2</v>
      </c>
      <c r="G20" s="8">
        <v>3</v>
      </c>
      <c r="H20" s="8">
        <v>4</v>
      </c>
      <c r="I20" s="8">
        <v>5</v>
      </c>
      <c r="K20" s="7">
        <v>52</v>
      </c>
      <c r="L20" s="16" t="s">
        <v>341</v>
      </c>
      <c r="M20" s="9" t="s">
        <v>657</v>
      </c>
      <c r="N20" s="9"/>
      <c r="O20" s="9">
        <v>1</v>
      </c>
      <c r="P20" s="9">
        <v>2</v>
      </c>
      <c r="Q20" s="9">
        <v>3</v>
      </c>
      <c r="R20" s="9">
        <v>4</v>
      </c>
      <c r="S20" s="9">
        <v>5</v>
      </c>
      <c r="U20" s="7">
        <v>19</v>
      </c>
      <c r="V20" s="7" t="s">
        <v>504</v>
      </c>
      <c r="W20" s="8" t="s">
        <v>519</v>
      </c>
      <c r="X20" s="8"/>
      <c r="Y20" s="8">
        <v>1</v>
      </c>
      <c r="Z20" s="8">
        <v>2</v>
      </c>
      <c r="AA20" s="8">
        <v>3</v>
      </c>
      <c r="AB20" s="8">
        <v>4</v>
      </c>
      <c r="AC20" s="8">
        <v>5</v>
      </c>
      <c r="AE20" s="7">
        <v>52</v>
      </c>
      <c r="AF20" s="7" t="s">
        <v>481</v>
      </c>
      <c r="AG20" s="8" t="s">
        <v>665</v>
      </c>
      <c r="AH20" s="8"/>
      <c r="AI20" s="8">
        <v>1</v>
      </c>
      <c r="AJ20" s="8"/>
      <c r="AK20" s="8">
        <v>3</v>
      </c>
      <c r="AL20" s="8"/>
      <c r="AM20" s="8"/>
    </row>
    <row r="21" spans="1:39" ht="24.75" customHeight="1">
      <c r="A21" s="7">
        <v>20</v>
      </c>
      <c r="B21" s="16" t="s">
        <v>266</v>
      </c>
      <c r="C21" s="9" t="s">
        <v>666</v>
      </c>
      <c r="D21" s="9" t="s">
        <v>104</v>
      </c>
      <c r="E21" s="9">
        <v>1</v>
      </c>
      <c r="F21" s="9">
        <v>2</v>
      </c>
      <c r="G21" s="9">
        <v>3</v>
      </c>
      <c r="H21" s="9">
        <v>4</v>
      </c>
      <c r="I21" s="9">
        <v>5</v>
      </c>
      <c r="K21" s="7">
        <v>53</v>
      </c>
      <c r="L21" s="17" t="s">
        <v>341</v>
      </c>
      <c r="M21" s="10" t="s">
        <v>658</v>
      </c>
      <c r="N21" s="10"/>
      <c r="O21" s="10">
        <v>1</v>
      </c>
      <c r="P21" s="10">
        <v>2</v>
      </c>
      <c r="Q21" s="10">
        <v>3</v>
      </c>
      <c r="R21" s="10">
        <v>4</v>
      </c>
      <c r="S21" s="10">
        <v>5</v>
      </c>
      <c r="U21" s="7">
        <v>20</v>
      </c>
      <c r="V21" s="7" t="s">
        <v>504</v>
      </c>
      <c r="W21" s="8" t="s">
        <v>521</v>
      </c>
      <c r="X21" s="8"/>
      <c r="Y21" s="8">
        <v>1</v>
      </c>
      <c r="Z21" s="8">
        <v>2</v>
      </c>
      <c r="AA21" s="8">
        <v>3</v>
      </c>
      <c r="AB21" s="8">
        <v>4</v>
      </c>
      <c r="AC21" s="8">
        <v>5</v>
      </c>
      <c r="AE21" s="7">
        <v>53</v>
      </c>
      <c r="AF21" s="7" t="s">
        <v>481</v>
      </c>
      <c r="AG21" s="8" t="s">
        <v>497</v>
      </c>
      <c r="AH21" s="8"/>
      <c r="AI21" s="8">
        <v>1</v>
      </c>
      <c r="AJ21" s="8"/>
      <c r="AK21" s="8">
        <v>3</v>
      </c>
      <c r="AL21" s="8"/>
      <c r="AM21" s="8"/>
    </row>
    <row r="22" spans="1:39" ht="24.75" customHeight="1">
      <c r="A22" s="7">
        <v>21</v>
      </c>
      <c r="B22" s="16" t="s">
        <v>266</v>
      </c>
      <c r="C22" s="9" t="s">
        <v>667</v>
      </c>
      <c r="D22" s="9" t="s">
        <v>104</v>
      </c>
      <c r="E22" s="9">
        <v>1</v>
      </c>
      <c r="F22" s="9">
        <v>2</v>
      </c>
      <c r="G22" s="9">
        <v>3</v>
      </c>
      <c r="H22" s="9">
        <v>4</v>
      </c>
      <c r="I22" s="9">
        <v>5</v>
      </c>
      <c r="K22" s="7">
        <v>54</v>
      </c>
      <c r="L22" s="17" t="s">
        <v>341</v>
      </c>
      <c r="M22" s="10" t="s">
        <v>661</v>
      </c>
      <c r="N22" s="10"/>
      <c r="O22" s="10">
        <v>1</v>
      </c>
      <c r="P22" s="10">
        <v>2</v>
      </c>
      <c r="Q22" s="10">
        <v>3</v>
      </c>
      <c r="R22" s="10">
        <v>4</v>
      </c>
      <c r="S22" s="10">
        <v>5</v>
      </c>
      <c r="U22" s="7">
        <v>21</v>
      </c>
      <c r="V22" s="16" t="s">
        <v>115</v>
      </c>
      <c r="W22" s="26" t="s">
        <v>128</v>
      </c>
      <c r="X22" s="9"/>
      <c r="Y22" s="9">
        <v>1</v>
      </c>
      <c r="Z22" s="9"/>
      <c r="AA22" s="9">
        <v>3</v>
      </c>
      <c r="AB22" s="9"/>
      <c r="AC22" s="9"/>
      <c r="AE22" s="7">
        <v>54</v>
      </c>
      <c r="AF22" s="16" t="s">
        <v>224</v>
      </c>
      <c r="AG22" s="9" t="s">
        <v>263</v>
      </c>
      <c r="AH22" s="9"/>
      <c r="AI22" s="9">
        <v>1</v>
      </c>
      <c r="AJ22" s="9"/>
      <c r="AK22" s="9">
        <v>3</v>
      </c>
      <c r="AL22" s="9"/>
      <c r="AM22" s="9"/>
    </row>
    <row r="23" spans="1:39" ht="24.75" customHeight="1">
      <c r="A23" s="7">
        <v>22</v>
      </c>
      <c r="B23" s="16" t="s">
        <v>266</v>
      </c>
      <c r="C23" s="9" t="s">
        <v>269</v>
      </c>
      <c r="D23" s="9"/>
      <c r="E23" s="9">
        <v>1</v>
      </c>
      <c r="F23" s="9">
        <v>2</v>
      </c>
      <c r="G23" s="9">
        <v>3</v>
      </c>
      <c r="H23" s="9">
        <v>4</v>
      </c>
      <c r="I23" s="9">
        <v>5</v>
      </c>
      <c r="K23" s="7">
        <v>55</v>
      </c>
      <c r="L23" s="16" t="s">
        <v>341</v>
      </c>
      <c r="M23" s="9" t="s">
        <v>662</v>
      </c>
      <c r="N23" s="9" t="s">
        <v>645</v>
      </c>
      <c r="O23" s="9">
        <v>1</v>
      </c>
      <c r="P23" s="9">
        <v>2</v>
      </c>
      <c r="Q23" s="9">
        <v>3</v>
      </c>
      <c r="R23" s="9">
        <v>4</v>
      </c>
      <c r="S23" s="9">
        <v>5</v>
      </c>
      <c r="U23" s="7">
        <v>22</v>
      </c>
      <c r="V23" s="24" t="s">
        <v>115</v>
      </c>
      <c r="W23" s="16" t="s">
        <v>135</v>
      </c>
      <c r="X23" s="25"/>
      <c r="Y23" s="9">
        <v>1</v>
      </c>
      <c r="Z23" s="9">
        <v>2</v>
      </c>
      <c r="AA23" s="9">
        <v>3</v>
      </c>
      <c r="AB23" s="9">
        <v>4</v>
      </c>
      <c r="AC23" s="9">
        <v>5</v>
      </c>
      <c r="AE23" s="7">
        <v>55</v>
      </c>
      <c r="AF23" s="16" t="s">
        <v>224</v>
      </c>
      <c r="AG23" s="9" t="s">
        <v>644</v>
      </c>
      <c r="AH23" s="9" t="s">
        <v>645</v>
      </c>
      <c r="AI23" s="9">
        <v>1</v>
      </c>
      <c r="AJ23" s="9">
        <v>2</v>
      </c>
      <c r="AK23" s="9">
        <v>3</v>
      </c>
      <c r="AL23" s="9">
        <v>4</v>
      </c>
      <c r="AM23" s="9">
        <v>5</v>
      </c>
    </row>
    <row r="24" spans="1:39" ht="24.75" customHeight="1">
      <c r="A24" s="7">
        <v>23</v>
      </c>
      <c r="B24" s="16" t="s">
        <v>266</v>
      </c>
      <c r="C24" s="9" t="s">
        <v>668</v>
      </c>
      <c r="D24" s="9"/>
      <c r="E24" s="9">
        <v>1</v>
      </c>
      <c r="F24" s="9">
        <v>2</v>
      </c>
      <c r="G24" s="9">
        <v>3</v>
      </c>
      <c r="H24" s="9">
        <v>4</v>
      </c>
      <c r="I24" s="9">
        <v>5</v>
      </c>
      <c r="K24" s="7">
        <v>56</v>
      </c>
      <c r="L24" s="16" t="s">
        <v>341</v>
      </c>
      <c r="M24" s="9" t="s">
        <v>368</v>
      </c>
      <c r="N24" s="9"/>
      <c r="O24" s="9">
        <v>1</v>
      </c>
      <c r="P24" s="9">
        <v>2</v>
      </c>
      <c r="Q24" s="9">
        <v>3</v>
      </c>
      <c r="R24" s="9">
        <v>4</v>
      </c>
      <c r="S24" s="9">
        <v>5</v>
      </c>
      <c r="U24" s="7">
        <v>23</v>
      </c>
      <c r="V24" s="16" t="s">
        <v>115</v>
      </c>
      <c r="W24" s="27" t="s">
        <v>160</v>
      </c>
      <c r="X24" s="9"/>
      <c r="Y24" s="9">
        <v>1</v>
      </c>
      <c r="Z24" s="9"/>
      <c r="AA24" s="9"/>
      <c r="AB24" s="9"/>
      <c r="AC24" s="9"/>
      <c r="AE24" s="7">
        <v>56</v>
      </c>
      <c r="AF24" s="16" t="s">
        <v>224</v>
      </c>
      <c r="AG24" s="9" t="s">
        <v>216</v>
      </c>
      <c r="AH24" s="9"/>
      <c r="AI24" s="9">
        <v>1</v>
      </c>
      <c r="AJ24" s="9">
        <v>2</v>
      </c>
      <c r="AK24" s="9">
        <v>3</v>
      </c>
      <c r="AL24" s="9">
        <v>4</v>
      </c>
      <c r="AM24" s="9">
        <v>5</v>
      </c>
    </row>
    <row r="25" spans="1:39" ht="24.75" customHeight="1">
      <c r="A25" s="7">
        <v>24</v>
      </c>
      <c r="B25" s="16" t="s">
        <v>266</v>
      </c>
      <c r="C25" s="9" t="s">
        <v>279</v>
      </c>
      <c r="D25" s="9"/>
      <c r="E25" s="9">
        <v>1</v>
      </c>
      <c r="F25" s="9">
        <v>2</v>
      </c>
      <c r="G25" s="9">
        <v>3</v>
      </c>
      <c r="H25" s="9">
        <v>4</v>
      </c>
      <c r="I25" s="9">
        <v>5</v>
      </c>
      <c r="K25" s="7">
        <v>57</v>
      </c>
      <c r="L25" s="7" t="s">
        <v>504</v>
      </c>
      <c r="M25" s="8" t="s">
        <v>547</v>
      </c>
      <c r="N25" s="8"/>
      <c r="O25" s="8">
        <v>1</v>
      </c>
      <c r="P25" s="8">
        <v>2</v>
      </c>
      <c r="Q25" s="8">
        <v>3</v>
      </c>
      <c r="R25" s="8">
        <v>4</v>
      </c>
      <c r="S25" s="8">
        <v>5</v>
      </c>
      <c r="U25" s="7">
        <v>24</v>
      </c>
      <c r="V25" s="16" t="s">
        <v>115</v>
      </c>
      <c r="W25" s="9" t="s">
        <v>155</v>
      </c>
      <c r="X25" s="9"/>
      <c r="Y25" s="9">
        <v>1</v>
      </c>
      <c r="Z25" s="9"/>
      <c r="AA25" s="9"/>
      <c r="AB25" s="9"/>
      <c r="AC25" s="9"/>
      <c r="AE25" s="7">
        <v>57</v>
      </c>
      <c r="AF25" s="16" t="s">
        <v>224</v>
      </c>
      <c r="AG25" s="9" t="s">
        <v>221</v>
      </c>
      <c r="AH25" s="9"/>
      <c r="AI25" s="9">
        <v>1</v>
      </c>
      <c r="AJ25" s="9">
        <v>2</v>
      </c>
      <c r="AK25" s="9">
        <v>3</v>
      </c>
      <c r="AL25" s="9">
        <v>4</v>
      </c>
      <c r="AM25" s="9">
        <v>5</v>
      </c>
    </row>
    <row r="26" spans="1:39" ht="24.75" customHeight="1">
      <c r="A26" s="7">
        <v>25</v>
      </c>
      <c r="B26" s="16" t="s">
        <v>266</v>
      </c>
      <c r="C26" s="9" t="s">
        <v>281</v>
      </c>
      <c r="D26" s="9"/>
      <c r="E26" s="9">
        <v>1</v>
      </c>
      <c r="F26" s="9">
        <v>2</v>
      </c>
      <c r="G26" s="9">
        <v>3</v>
      </c>
      <c r="H26" s="9">
        <v>4</v>
      </c>
      <c r="I26" s="9">
        <v>5</v>
      </c>
      <c r="K26" s="7">
        <v>58</v>
      </c>
      <c r="L26" s="7" t="s">
        <v>504</v>
      </c>
      <c r="M26" s="8" t="s">
        <v>660</v>
      </c>
      <c r="N26" s="8"/>
      <c r="O26" s="8">
        <v>1</v>
      </c>
      <c r="P26" s="8">
        <v>2</v>
      </c>
      <c r="Q26" s="8">
        <v>3</v>
      </c>
      <c r="R26" s="8">
        <v>4</v>
      </c>
      <c r="S26" s="8">
        <v>5</v>
      </c>
      <c r="U26" s="7">
        <v>25</v>
      </c>
      <c r="V26" s="16" t="s">
        <v>115</v>
      </c>
      <c r="W26" s="9" t="s">
        <v>183</v>
      </c>
      <c r="X26" s="9"/>
      <c r="Y26" s="9">
        <v>1</v>
      </c>
      <c r="Z26" s="9">
        <v>2</v>
      </c>
      <c r="AA26" s="9">
        <v>3</v>
      </c>
      <c r="AB26" s="9">
        <v>4</v>
      </c>
      <c r="AC26" s="9">
        <v>5</v>
      </c>
      <c r="AE26" s="7">
        <v>58</v>
      </c>
      <c r="AF26" s="16" t="s">
        <v>224</v>
      </c>
      <c r="AG26" s="9" t="s">
        <v>212</v>
      </c>
      <c r="AH26" s="9"/>
      <c r="AI26" s="9">
        <v>1</v>
      </c>
      <c r="AJ26" s="9">
        <v>2</v>
      </c>
      <c r="AK26" s="9">
        <v>3</v>
      </c>
      <c r="AL26" s="9">
        <v>4</v>
      </c>
      <c r="AM26" s="9">
        <v>5</v>
      </c>
    </row>
    <row r="27" spans="1:39" ht="24.75" customHeight="1">
      <c r="A27" s="7">
        <v>26</v>
      </c>
      <c r="B27" s="16" t="s">
        <v>266</v>
      </c>
      <c r="C27" s="9" t="s">
        <v>290</v>
      </c>
      <c r="D27" s="9"/>
      <c r="E27" s="9">
        <v>1</v>
      </c>
      <c r="F27" s="9">
        <v>2</v>
      </c>
      <c r="G27" s="9">
        <v>3</v>
      </c>
      <c r="H27" s="9">
        <v>4</v>
      </c>
      <c r="I27" s="9">
        <v>5</v>
      </c>
      <c r="K27" s="7">
        <v>59</v>
      </c>
      <c r="L27" s="7" t="s">
        <v>504</v>
      </c>
      <c r="M27" s="8" t="s">
        <v>543</v>
      </c>
      <c r="N27" s="8"/>
      <c r="O27" s="8">
        <v>1</v>
      </c>
      <c r="P27" s="8">
        <v>2</v>
      </c>
      <c r="Q27" s="8">
        <v>3</v>
      </c>
      <c r="R27" s="8">
        <v>4</v>
      </c>
      <c r="S27" s="8">
        <v>5</v>
      </c>
      <c r="U27" s="7">
        <v>26</v>
      </c>
      <c r="V27" s="16" t="s">
        <v>115</v>
      </c>
      <c r="W27" s="9" t="s">
        <v>664</v>
      </c>
      <c r="X27" s="9"/>
      <c r="Y27" s="9">
        <v>1</v>
      </c>
      <c r="Z27" s="9">
        <v>2</v>
      </c>
      <c r="AA27" s="9">
        <v>3</v>
      </c>
      <c r="AB27" s="9">
        <v>4</v>
      </c>
      <c r="AC27" s="9">
        <v>5</v>
      </c>
      <c r="AE27" s="7">
        <v>59</v>
      </c>
      <c r="AF27" s="7" t="s">
        <v>224</v>
      </c>
      <c r="AG27" s="8" t="s">
        <v>630</v>
      </c>
      <c r="AH27" s="8"/>
      <c r="AI27" s="8">
        <v>1</v>
      </c>
      <c r="AJ27" s="8">
        <v>2</v>
      </c>
      <c r="AK27" s="8">
        <v>3</v>
      </c>
      <c r="AL27" s="8">
        <v>4</v>
      </c>
      <c r="AM27" s="8">
        <v>5</v>
      </c>
    </row>
    <row r="28" spans="1:39" ht="24.75" customHeight="1">
      <c r="A28" s="7">
        <v>27</v>
      </c>
      <c r="B28" s="16" t="s">
        <v>266</v>
      </c>
      <c r="C28" s="9" t="s">
        <v>296</v>
      </c>
      <c r="D28" s="9"/>
      <c r="E28" s="9">
        <v>1</v>
      </c>
      <c r="F28" s="9">
        <v>2</v>
      </c>
      <c r="G28" s="9">
        <v>3</v>
      </c>
      <c r="H28" s="9">
        <v>4</v>
      </c>
      <c r="I28" s="9">
        <v>5</v>
      </c>
      <c r="K28" s="7">
        <v>60</v>
      </c>
      <c r="L28" s="7" t="s">
        <v>504</v>
      </c>
      <c r="M28" s="8" t="s">
        <v>539</v>
      </c>
      <c r="N28" s="8"/>
      <c r="O28" s="8">
        <v>1</v>
      </c>
      <c r="P28" s="8">
        <v>2</v>
      </c>
      <c r="Q28" s="8">
        <v>3</v>
      </c>
      <c r="R28" s="8">
        <v>4</v>
      </c>
      <c r="S28" s="8">
        <v>5</v>
      </c>
      <c r="U28" s="7">
        <v>27</v>
      </c>
      <c r="V28" s="16" t="s">
        <v>115</v>
      </c>
      <c r="W28" s="9" t="s">
        <v>180</v>
      </c>
      <c r="X28" s="9"/>
      <c r="Y28" s="9">
        <v>1</v>
      </c>
      <c r="Z28" s="9">
        <v>2</v>
      </c>
      <c r="AA28" s="9">
        <v>3</v>
      </c>
      <c r="AB28" s="9">
        <v>4</v>
      </c>
      <c r="AC28" s="9">
        <v>5</v>
      </c>
      <c r="AE28" s="7">
        <v>60</v>
      </c>
      <c r="AF28" s="7" t="s">
        <v>224</v>
      </c>
      <c r="AG28" s="8" t="s">
        <v>649</v>
      </c>
      <c r="AH28" s="8"/>
      <c r="AI28" s="8">
        <v>1</v>
      </c>
      <c r="AJ28" s="8">
        <v>2</v>
      </c>
      <c r="AK28" s="8">
        <v>3</v>
      </c>
      <c r="AL28" s="8">
        <v>4</v>
      </c>
      <c r="AM28" s="8">
        <v>5</v>
      </c>
    </row>
    <row r="29" spans="1:39" ht="24.75" customHeight="1">
      <c r="A29" s="7">
        <v>28</v>
      </c>
      <c r="B29" s="16" t="s">
        <v>266</v>
      </c>
      <c r="C29" s="9" t="s">
        <v>648</v>
      </c>
      <c r="D29" s="9" t="s">
        <v>645</v>
      </c>
      <c r="E29" s="9">
        <v>1</v>
      </c>
      <c r="F29" s="9">
        <v>2</v>
      </c>
      <c r="G29" s="9">
        <v>3</v>
      </c>
      <c r="H29" s="9">
        <v>4</v>
      </c>
      <c r="I29" s="9">
        <v>5</v>
      </c>
      <c r="K29" s="7">
        <v>61</v>
      </c>
      <c r="L29" s="7" t="s">
        <v>504</v>
      </c>
      <c r="M29" s="8" t="s">
        <v>663</v>
      </c>
      <c r="N29" s="8"/>
      <c r="O29" s="8">
        <v>1</v>
      </c>
      <c r="P29" s="8">
        <v>2</v>
      </c>
      <c r="Q29" s="8">
        <v>3</v>
      </c>
      <c r="R29" s="8">
        <v>4</v>
      </c>
      <c r="S29" s="8">
        <v>5</v>
      </c>
      <c r="U29" s="7">
        <v>28</v>
      </c>
      <c r="V29" s="16" t="s">
        <v>115</v>
      </c>
      <c r="W29" s="9" t="s">
        <v>181</v>
      </c>
      <c r="X29" s="9"/>
      <c r="Y29" s="9">
        <v>1</v>
      </c>
      <c r="Z29" s="9">
        <v>2</v>
      </c>
      <c r="AA29" s="9">
        <v>3</v>
      </c>
      <c r="AB29" s="9">
        <v>4</v>
      </c>
      <c r="AC29" s="9">
        <v>5</v>
      </c>
      <c r="AE29" s="7">
        <v>61</v>
      </c>
      <c r="AF29" s="7" t="s">
        <v>224</v>
      </c>
      <c r="AG29" s="8" t="s">
        <v>652</v>
      </c>
      <c r="AH29" s="8" t="s">
        <v>645</v>
      </c>
      <c r="AI29" s="8">
        <v>1</v>
      </c>
      <c r="AJ29" s="8">
        <v>2</v>
      </c>
      <c r="AK29" s="8">
        <v>3</v>
      </c>
      <c r="AL29" s="8">
        <v>4</v>
      </c>
      <c r="AM29" s="8">
        <v>5</v>
      </c>
    </row>
    <row r="30" spans="1:39" ht="24.75" customHeight="1">
      <c r="A30" s="7">
        <v>29</v>
      </c>
      <c r="B30" s="17" t="s">
        <v>316</v>
      </c>
      <c r="C30" s="10" t="s">
        <v>650</v>
      </c>
      <c r="D30" s="10"/>
      <c r="E30" s="10">
        <v>1</v>
      </c>
      <c r="F30" s="10">
        <v>2</v>
      </c>
      <c r="G30" s="10">
        <v>3</v>
      </c>
      <c r="H30" s="10">
        <v>4</v>
      </c>
      <c r="I30" s="10">
        <v>5</v>
      </c>
      <c r="K30" s="7">
        <v>62</v>
      </c>
      <c r="L30" s="7" t="s">
        <v>504</v>
      </c>
      <c r="M30" s="8" t="s">
        <v>533</v>
      </c>
      <c r="N30" s="8"/>
      <c r="O30" s="8">
        <v>1</v>
      </c>
      <c r="P30" s="8">
        <v>2</v>
      </c>
      <c r="Q30" s="8">
        <v>3</v>
      </c>
      <c r="R30" s="8">
        <v>4</v>
      </c>
      <c r="S30" s="8">
        <v>5</v>
      </c>
      <c r="U30" s="7">
        <v>29</v>
      </c>
      <c r="V30" s="16" t="s">
        <v>115</v>
      </c>
      <c r="W30" s="9" t="s">
        <v>167</v>
      </c>
      <c r="X30" s="9"/>
      <c r="Y30" s="9">
        <v>1</v>
      </c>
      <c r="Z30" s="9">
        <v>2</v>
      </c>
      <c r="AA30" s="9">
        <v>3</v>
      </c>
      <c r="AB30" s="9">
        <v>4</v>
      </c>
      <c r="AC30" s="9">
        <v>5</v>
      </c>
      <c r="AE30" s="7">
        <v>62</v>
      </c>
      <c r="AF30" s="7" t="s">
        <v>224</v>
      </c>
      <c r="AG30" s="8" t="s">
        <v>654</v>
      </c>
      <c r="AH30" s="8"/>
      <c r="AI30" s="8">
        <v>1</v>
      </c>
      <c r="AJ30" s="8">
        <v>2</v>
      </c>
      <c r="AK30" s="8">
        <v>3</v>
      </c>
      <c r="AL30" s="8">
        <v>4</v>
      </c>
      <c r="AM30" s="8">
        <v>5</v>
      </c>
    </row>
    <row r="31" spans="1:39" ht="24.75" customHeight="1">
      <c r="A31" s="7">
        <v>30</v>
      </c>
      <c r="B31" s="7" t="s">
        <v>316</v>
      </c>
      <c r="C31" s="8" t="s">
        <v>317</v>
      </c>
      <c r="D31" s="8"/>
      <c r="E31" s="8">
        <v>1</v>
      </c>
      <c r="F31" s="8"/>
      <c r="G31" s="8">
        <v>3</v>
      </c>
      <c r="H31" s="8"/>
      <c r="I31" s="8"/>
      <c r="K31" s="7">
        <v>63</v>
      </c>
      <c r="L31" s="7" t="s">
        <v>504</v>
      </c>
      <c r="M31" s="8" t="s">
        <v>564</v>
      </c>
      <c r="N31" s="8"/>
      <c r="O31" s="8">
        <v>1</v>
      </c>
      <c r="P31" s="8"/>
      <c r="Q31" s="8">
        <v>3</v>
      </c>
      <c r="R31" s="8"/>
      <c r="S31" s="8">
        <v>5</v>
      </c>
      <c r="U31" s="7">
        <v>30</v>
      </c>
      <c r="V31" s="7" t="s">
        <v>266</v>
      </c>
      <c r="W31" s="8" t="s">
        <v>666</v>
      </c>
      <c r="X31" s="8" t="s">
        <v>104</v>
      </c>
      <c r="Y31" s="8">
        <v>1</v>
      </c>
      <c r="Z31" s="8">
        <v>2</v>
      </c>
      <c r="AA31" s="8">
        <v>3</v>
      </c>
      <c r="AB31" s="8">
        <v>4</v>
      </c>
      <c r="AC31" s="8">
        <v>5</v>
      </c>
      <c r="AE31" s="7">
        <v>63</v>
      </c>
      <c r="AF31" s="16" t="s">
        <v>459</v>
      </c>
      <c r="AG31" s="9" t="s">
        <v>467</v>
      </c>
      <c r="AH31" s="9"/>
      <c r="AI31" s="9">
        <v>1</v>
      </c>
      <c r="AJ31" s="9">
        <v>2</v>
      </c>
      <c r="AK31" s="9">
        <v>3</v>
      </c>
      <c r="AL31" s="9">
        <v>4</v>
      </c>
      <c r="AM31" s="9">
        <v>5</v>
      </c>
    </row>
    <row r="32" spans="1:39" ht="24.75" customHeight="1">
      <c r="A32" s="7">
        <v>31</v>
      </c>
      <c r="B32" s="7" t="s">
        <v>316</v>
      </c>
      <c r="C32" s="8" t="s">
        <v>319</v>
      </c>
      <c r="D32" s="8"/>
      <c r="E32" s="8">
        <v>1</v>
      </c>
      <c r="F32" s="8">
        <v>2</v>
      </c>
      <c r="G32" s="8">
        <v>3</v>
      </c>
      <c r="H32" s="8">
        <v>4</v>
      </c>
      <c r="I32" s="8">
        <v>5</v>
      </c>
      <c r="K32" s="7">
        <v>64</v>
      </c>
      <c r="L32" s="7" t="s">
        <v>504</v>
      </c>
      <c r="M32" s="8" t="s">
        <v>522</v>
      </c>
      <c r="N32" s="8"/>
      <c r="O32" s="8">
        <v>1</v>
      </c>
      <c r="P32" s="8">
        <v>2</v>
      </c>
      <c r="Q32" s="8">
        <v>3</v>
      </c>
      <c r="R32" s="8">
        <v>4</v>
      </c>
      <c r="S32" s="8">
        <v>5</v>
      </c>
      <c r="U32" s="7">
        <v>31</v>
      </c>
      <c r="V32" s="7" t="s">
        <v>266</v>
      </c>
      <c r="W32" s="8" t="s">
        <v>667</v>
      </c>
      <c r="X32" s="8" t="s">
        <v>104</v>
      </c>
      <c r="Y32" s="8">
        <v>1</v>
      </c>
      <c r="Z32" s="8">
        <v>2</v>
      </c>
      <c r="AA32" s="8">
        <v>3</v>
      </c>
      <c r="AB32" s="8">
        <v>4</v>
      </c>
      <c r="AC32" s="8">
        <v>5</v>
      </c>
      <c r="AE32" s="7">
        <v>64</v>
      </c>
      <c r="AF32" s="16" t="s">
        <v>459</v>
      </c>
      <c r="AG32" s="9" t="s">
        <v>656</v>
      </c>
      <c r="AH32" s="9"/>
      <c r="AI32" s="9">
        <v>1</v>
      </c>
      <c r="AJ32" s="9">
        <v>2</v>
      </c>
      <c r="AK32" s="9">
        <v>3</v>
      </c>
      <c r="AL32" s="9">
        <v>4</v>
      </c>
      <c r="AM32" s="9">
        <v>5</v>
      </c>
    </row>
    <row r="33" spans="1:39" ht="21" customHeight="1">
      <c r="A33" s="7">
        <v>32</v>
      </c>
      <c r="B33" s="17" t="s">
        <v>316</v>
      </c>
      <c r="C33" s="10" t="s">
        <v>327</v>
      </c>
      <c r="D33" s="10"/>
      <c r="E33" s="10">
        <v>1</v>
      </c>
      <c r="F33" s="10">
        <v>2</v>
      </c>
      <c r="G33" s="10">
        <v>3</v>
      </c>
      <c r="H33" s="10">
        <v>4</v>
      </c>
      <c r="I33" s="10">
        <v>5</v>
      </c>
      <c r="K33" s="7">
        <v>65</v>
      </c>
      <c r="L33" s="7" t="s">
        <v>504</v>
      </c>
      <c r="M33" s="8" t="s">
        <v>519</v>
      </c>
      <c r="N33" s="8"/>
      <c r="O33" s="8">
        <v>1</v>
      </c>
      <c r="P33" s="8">
        <v>2</v>
      </c>
      <c r="Q33" s="8">
        <v>3</v>
      </c>
      <c r="R33" s="8">
        <v>4</v>
      </c>
      <c r="S33" s="8">
        <v>5</v>
      </c>
      <c r="U33" s="7">
        <v>32</v>
      </c>
      <c r="V33" s="7" t="s">
        <v>266</v>
      </c>
      <c r="W33" s="8" t="s">
        <v>269</v>
      </c>
      <c r="X33" s="8"/>
      <c r="Y33" s="8">
        <v>1</v>
      </c>
      <c r="Z33" s="8">
        <v>2</v>
      </c>
      <c r="AA33" s="8">
        <v>3</v>
      </c>
      <c r="AB33" s="8">
        <v>4</v>
      </c>
      <c r="AC33" s="8">
        <v>5</v>
      </c>
      <c r="AE33" s="7">
        <v>65</v>
      </c>
      <c r="AF33" s="16" t="s">
        <v>459</v>
      </c>
      <c r="AG33" s="9" t="s">
        <v>477</v>
      </c>
      <c r="AH33" s="9"/>
      <c r="AI33" s="9">
        <v>1</v>
      </c>
      <c r="AJ33" s="9">
        <v>2</v>
      </c>
      <c r="AK33" s="9">
        <v>3</v>
      </c>
      <c r="AL33" s="9">
        <v>4</v>
      </c>
      <c r="AM33" s="9">
        <v>5</v>
      </c>
    </row>
    <row r="34" spans="1:39" ht="21" customHeight="1">
      <c r="A34" s="7">
        <v>33</v>
      </c>
      <c r="B34" s="16" t="s">
        <v>224</v>
      </c>
      <c r="C34" s="9" t="s">
        <v>263</v>
      </c>
      <c r="D34" s="9"/>
      <c r="E34" s="9">
        <v>1</v>
      </c>
      <c r="F34" s="9"/>
      <c r="G34" s="9">
        <v>3</v>
      </c>
      <c r="H34" s="9"/>
      <c r="I34" s="9"/>
      <c r="K34" s="7">
        <v>66</v>
      </c>
      <c r="L34" s="7" t="s">
        <v>504</v>
      </c>
      <c r="M34" s="8" t="s">
        <v>521</v>
      </c>
      <c r="N34" s="8"/>
      <c r="O34" s="8">
        <v>1</v>
      </c>
      <c r="P34" s="8">
        <v>2</v>
      </c>
      <c r="Q34" s="8">
        <v>3</v>
      </c>
      <c r="R34" s="8">
        <v>4</v>
      </c>
      <c r="S34" s="8">
        <v>5</v>
      </c>
      <c r="U34" s="7">
        <v>33</v>
      </c>
      <c r="V34" s="7" t="s">
        <v>266</v>
      </c>
      <c r="W34" s="8" t="s">
        <v>668</v>
      </c>
      <c r="X34" s="8"/>
      <c r="Y34" s="8">
        <v>1</v>
      </c>
      <c r="Z34" s="8">
        <v>2</v>
      </c>
      <c r="AA34" s="8">
        <v>3</v>
      </c>
      <c r="AB34" s="8">
        <v>4</v>
      </c>
      <c r="AC34" s="8">
        <v>5</v>
      </c>
      <c r="AE34" s="7">
        <v>66</v>
      </c>
      <c r="AF34" s="16" t="s">
        <v>459</v>
      </c>
      <c r="AG34" s="9" t="s">
        <v>659</v>
      </c>
      <c r="AH34" s="9"/>
      <c r="AI34" s="9">
        <v>1</v>
      </c>
      <c r="AJ34" s="9">
        <v>2</v>
      </c>
      <c r="AK34" s="9">
        <v>3</v>
      </c>
      <c r="AL34" s="9">
        <v>4</v>
      </c>
      <c r="AM34" s="9">
        <v>5</v>
      </c>
    </row>
    <row r="35" spans="1:39" ht="21" customHeight="1">
      <c r="A35" s="23"/>
      <c r="B35"/>
      <c r="C35"/>
      <c r="D35"/>
      <c r="E35"/>
      <c r="F35"/>
      <c r="G35"/>
      <c r="H35"/>
      <c r="I35"/>
      <c r="K35" s="7">
        <v>67</v>
      </c>
      <c r="L35" s="16" t="s">
        <v>447</v>
      </c>
      <c r="M35" s="9" t="s">
        <v>448</v>
      </c>
      <c r="N35" s="9"/>
      <c r="O35" s="9">
        <v>1</v>
      </c>
      <c r="P35" s="9">
        <v>2</v>
      </c>
      <c r="Q35" s="9">
        <v>3</v>
      </c>
      <c r="R35" s="9">
        <v>4</v>
      </c>
      <c r="S35" s="9">
        <v>5</v>
      </c>
      <c r="U35" s="23"/>
      <c r="AE35" s="7">
        <v>67</v>
      </c>
      <c r="AF35" s="7" t="s">
        <v>447</v>
      </c>
      <c r="AG35" s="8" t="s">
        <v>448</v>
      </c>
      <c r="AH35" s="8"/>
      <c r="AI35" s="8">
        <v>1</v>
      </c>
      <c r="AJ35" s="8">
        <v>2</v>
      </c>
      <c r="AK35" s="8">
        <v>3</v>
      </c>
      <c r="AL35" s="8">
        <v>4</v>
      </c>
      <c r="AM35" s="8">
        <v>5</v>
      </c>
    </row>
    <row r="36" spans="1:39" ht="21" customHeight="1">
      <c r="A36"/>
      <c r="B36"/>
      <c r="C36"/>
      <c r="D36"/>
      <c r="E36"/>
      <c r="F36"/>
      <c r="G36"/>
      <c r="H36"/>
      <c r="I36"/>
      <c r="K36"/>
      <c r="L36"/>
    </row>
    <row r="37" spans="1:39" ht="21" customHeight="1">
      <c r="A37"/>
      <c r="B37"/>
      <c r="C37"/>
      <c r="D37"/>
      <c r="E37"/>
      <c r="F37"/>
      <c r="G37"/>
      <c r="H37"/>
      <c r="I37"/>
      <c r="J37"/>
      <c r="K37"/>
      <c r="L37"/>
      <c r="M37" s="11" t="s">
        <v>70</v>
      </c>
      <c r="N37" s="11"/>
      <c r="O37" s="11">
        <f>COUNTIF($E$2:$S$35,"1")</f>
        <v>65</v>
      </c>
      <c r="P37" s="11">
        <f>COUNTIF($E$2:$S$35,"2")</f>
        <v>57</v>
      </c>
      <c r="Q37" s="11">
        <f>COUNTIF($E$2:$S$35,"3")</f>
        <v>63</v>
      </c>
      <c r="R37" s="11">
        <f>COUNTIF($E$2:$S$35,"4")</f>
        <v>59</v>
      </c>
      <c r="S37" s="11">
        <f>COUNTIF($E$2:$S$35,"5")</f>
        <v>58</v>
      </c>
      <c r="AG37" s="11" t="s">
        <v>70</v>
      </c>
      <c r="AH37" s="11"/>
      <c r="AI37" s="11">
        <f>COUNTIF($Y$2:$AM$35,"1")</f>
        <v>65</v>
      </c>
      <c r="AJ37" s="11">
        <f>COUNTIF($Y$2:$AM$35,"2")</f>
        <v>57</v>
      </c>
      <c r="AK37" s="11">
        <f>COUNTIF($Y$2:$AM$35,"3")</f>
        <v>63</v>
      </c>
      <c r="AL37" s="11">
        <f>COUNTIF($Y$2:$AM$35,"4")</f>
        <v>59</v>
      </c>
      <c r="AM37" s="11">
        <f>COUNTIF($Y$2:$AM$35,"5")</f>
        <v>58</v>
      </c>
    </row>
    <row r="38" spans="1:39" ht="36" customHeight="1">
      <c r="A38"/>
      <c r="B38"/>
      <c r="C38"/>
      <c r="D38"/>
      <c r="E38"/>
      <c r="F38"/>
      <c r="G38"/>
      <c r="H38"/>
      <c r="I38"/>
      <c r="J38"/>
      <c r="K38"/>
      <c r="L38"/>
      <c r="M38"/>
      <c r="N38"/>
      <c r="O38"/>
      <c r="P38"/>
      <c r="Q38"/>
      <c r="R38"/>
      <c r="S38"/>
    </row>
    <row r="39" spans="1:39" ht="36" customHeight="1">
      <c r="A39"/>
      <c r="B39"/>
      <c r="C39"/>
      <c r="D39"/>
      <c r="E39"/>
      <c r="F39"/>
      <c r="G39"/>
      <c r="H39"/>
      <c r="I39"/>
      <c r="J39"/>
      <c r="K39"/>
      <c r="L39"/>
      <c r="M39"/>
      <c r="N39"/>
      <c r="O39"/>
      <c r="P39"/>
      <c r="Q39"/>
      <c r="R39"/>
      <c r="S39"/>
    </row>
    <row r="40" spans="1:39" ht="36" customHeight="1">
      <c r="A40"/>
      <c r="B40"/>
      <c r="C40"/>
      <c r="D40"/>
      <c r="E40"/>
      <c r="F40"/>
      <c r="G40"/>
      <c r="H40"/>
      <c r="I40"/>
      <c r="K40"/>
      <c r="L40"/>
      <c r="M40"/>
      <c r="N40"/>
      <c r="O40"/>
      <c r="P40"/>
      <c r="Q40"/>
      <c r="R40"/>
      <c r="S40"/>
    </row>
    <row r="41" spans="1:39" ht="32.25" customHeight="1">
      <c r="A41"/>
      <c r="B41"/>
      <c r="C41"/>
      <c r="D41"/>
      <c r="E41"/>
      <c r="F41"/>
      <c r="G41"/>
      <c r="H41"/>
      <c r="I41"/>
      <c r="K41"/>
      <c r="L41"/>
      <c r="M41"/>
      <c r="N41"/>
      <c r="O41"/>
      <c r="P41"/>
      <c r="Q41"/>
      <c r="R41"/>
      <c r="S41"/>
    </row>
    <row r="42" spans="1:39">
      <c r="A42"/>
      <c r="B42"/>
      <c r="C42"/>
      <c r="D42"/>
      <c r="E42"/>
      <c r="F42"/>
      <c r="G42"/>
      <c r="H42"/>
      <c r="I42"/>
      <c r="K42"/>
      <c r="L42"/>
      <c r="M42"/>
      <c r="N42"/>
      <c r="O42"/>
      <c r="P42"/>
      <c r="Q42"/>
      <c r="R42"/>
      <c r="S42"/>
    </row>
    <row r="43" spans="1:39">
      <c r="A43"/>
      <c r="B43"/>
      <c r="C43"/>
      <c r="D43"/>
      <c r="E43"/>
      <c r="F43"/>
      <c r="G43"/>
      <c r="H43"/>
      <c r="I43"/>
      <c r="K43"/>
      <c r="L43"/>
      <c r="M43"/>
      <c r="N43"/>
      <c r="O43"/>
      <c r="P43"/>
      <c r="Q43"/>
      <c r="R43"/>
      <c r="S43"/>
    </row>
    <row r="44" spans="1:39">
      <c r="A44"/>
      <c r="B44"/>
      <c r="C44"/>
      <c r="D44"/>
      <c r="E44"/>
      <c r="F44"/>
      <c r="G44"/>
      <c r="H44"/>
      <c r="I44"/>
      <c r="K44"/>
      <c r="L44"/>
      <c r="M44"/>
      <c r="N44"/>
      <c r="O44"/>
      <c r="P44"/>
      <c r="Q44"/>
      <c r="R44"/>
      <c r="S44"/>
    </row>
    <row r="45" spans="1:39">
      <c r="A45"/>
      <c r="L45"/>
      <c r="M45"/>
      <c r="N45"/>
      <c r="O45"/>
      <c r="P45"/>
      <c r="Q45"/>
      <c r="R45"/>
      <c r="S45"/>
    </row>
    <row r="47" spans="1:39">
      <c r="K47"/>
    </row>
    <row r="48" spans="1:39">
      <c r="L48"/>
      <c r="M48"/>
      <c r="N48"/>
      <c r="O48"/>
      <c r="P48"/>
      <c r="Q48"/>
      <c r="R48"/>
      <c r="S48"/>
    </row>
  </sheetData>
  <phoneticPr fontId="1"/>
  <printOptions horizontalCentered="1"/>
  <pageMargins left="0.23622047244094491" right="0.23622047244094491" top="0.74803149606299213" bottom="0.74803149606299213" header="0.31496062992125978" footer="0.31496062992125978"/>
  <pageSetup paperSize="9" scale="75" fitToHeight="0" orientation="portrait"/>
  <headerFooter scaleWithDoc="0">
    <oddHeader>&amp;L&amp;9 (有)上野清掃社 
TEL 0595-36-2448&amp;C&amp;14 水曜日金属収集表&amp;R&amp;P/&amp;N</oddHeader>
    <oddFooter>&amp;L&amp;9 西山伸一作成&amp;R&amp;9 &amp;D／&amp;T</oddFooter>
  </headerFooter>
  <colBreaks count="2" manualBreakCount="2">
    <brk id="19" max="1048575" man="1"/>
    <brk id="22" min="1" max="3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M63"/>
  <sheetViews>
    <sheetView showRuler="0" topLeftCell="A5" zoomScale="75" zoomScaleNormal="75" zoomScaleSheetLayoutView="100" zoomScalePageLayoutView="74" workbookViewId="0">
      <selection activeCell="L5" sqref="L5"/>
    </sheetView>
  </sheetViews>
  <sheetFormatPr baseColWidth="10" defaultColWidth="8.6640625" defaultRowHeight="16"/>
  <cols>
    <col min="1" max="1" width="2.5" style="35" customWidth="1"/>
    <col min="2" max="2" width="22" style="37" customWidth="1"/>
    <col min="3" max="3" width="2.5" style="71" customWidth="1"/>
    <col min="4" max="4" width="1.33203125" style="71" customWidth="1"/>
    <col min="5" max="5" width="2.5" style="35" customWidth="1"/>
    <col min="6" max="6" width="22" style="37" customWidth="1"/>
    <col min="7" max="7" width="2.5" style="71" customWidth="1"/>
    <col min="8" max="8" width="2.5" style="35" customWidth="1"/>
    <col min="9" max="9" width="22" style="37" customWidth="1"/>
    <col min="10" max="10" width="2.5" style="76" customWidth="1"/>
    <col min="11" max="11" width="8.6640625" style="34" customWidth="1"/>
    <col min="12" max="16384" width="8.6640625" style="34"/>
  </cols>
  <sheetData>
    <row r="1" spans="1:13" ht="21" customHeight="1">
      <c r="A1" s="73">
        <v>1</v>
      </c>
      <c r="B1" s="95" t="s">
        <v>452</v>
      </c>
      <c r="C1" s="84"/>
      <c r="D1" s="162"/>
      <c r="E1" s="167">
        <v>1</v>
      </c>
      <c r="F1" s="100" t="s">
        <v>488</v>
      </c>
      <c r="G1" s="124"/>
      <c r="H1" s="124">
        <v>35</v>
      </c>
      <c r="I1" s="95" t="s">
        <v>670</v>
      </c>
      <c r="J1" s="84"/>
    </row>
    <row r="2" spans="1:13" ht="21" customHeight="1">
      <c r="A2" s="74">
        <v>2</v>
      </c>
      <c r="B2" s="96" t="s">
        <v>671</v>
      </c>
      <c r="C2" s="77"/>
      <c r="D2" s="162"/>
      <c r="E2" s="79">
        <v>2</v>
      </c>
      <c r="F2" s="97" t="s">
        <v>71</v>
      </c>
      <c r="G2" s="94"/>
      <c r="H2" s="94">
        <v>36</v>
      </c>
      <c r="I2" s="96" t="s">
        <v>672</v>
      </c>
      <c r="J2" s="77" t="s">
        <v>52</v>
      </c>
    </row>
    <row r="3" spans="1:13" ht="21" customHeight="1">
      <c r="A3" s="79">
        <v>3</v>
      </c>
      <c r="B3" s="97" t="s">
        <v>673</v>
      </c>
      <c r="C3" s="77"/>
      <c r="D3" s="162"/>
      <c r="E3" s="79">
        <v>3</v>
      </c>
      <c r="F3" s="97" t="s">
        <v>653</v>
      </c>
      <c r="G3" s="94" t="s">
        <v>52</v>
      </c>
      <c r="H3" s="83">
        <v>37</v>
      </c>
      <c r="I3" s="97" t="s">
        <v>674</v>
      </c>
      <c r="J3" s="77" t="s">
        <v>52</v>
      </c>
    </row>
    <row r="4" spans="1:13" ht="21" customHeight="1">
      <c r="A4" s="79">
        <v>4</v>
      </c>
      <c r="B4" s="97" t="s">
        <v>412</v>
      </c>
      <c r="C4" s="77"/>
      <c r="D4" s="162"/>
      <c r="E4" s="79">
        <v>4</v>
      </c>
      <c r="F4" s="97" t="s">
        <v>651</v>
      </c>
      <c r="G4" s="94" t="s">
        <v>52</v>
      </c>
      <c r="H4" s="83">
        <v>38</v>
      </c>
      <c r="I4" s="97" t="s">
        <v>257</v>
      </c>
      <c r="J4" s="77" t="s">
        <v>104</v>
      </c>
    </row>
    <row r="5" spans="1:13" ht="21" customHeight="1">
      <c r="A5" s="79">
        <v>5</v>
      </c>
      <c r="B5" s="97" t="s">
        <v>675</v>
      </c>
      <c r="C5" s="77" t="s">
        <v>52</v>
      </c>
      <c r="D5" s="162"/>
      <c r="E5" s="79">
        <v>5</v>
      </c>
      <c r="F5" s="97" t="s">
        <v>116</v>
      </c>
      <c r="G5" s="94"/>
      <c r="H5" s="83">
        <v>39</v>
      </c>
      <c r="I5" s="97" t="s">
        <v>236</v>
      </c>
      <c r="J5" s="77" t="s">
        <v>104</v>
      </c>
    </row>
    <row r="6" spans="1:13" ht="21" customHeight="1">
      <c r="A6" s="79">
        <v>6</v>
      </c>
      <c r="B6" s="97" t="s">
        <v>647</v>
      </c>
      <c r="C6" s="77"/>
      <c r="D6" s="162"/>
      <c r="E6" s="79">
        <v>6</v>
      </c>
      <c r="F6" s="97" t="s">
        <v>676</v>
      </c>
      <c r="G6" s="94"/>
      <c r="H6" s="83">
        <v>40</v>
      </c>
      <c r="I6" s="97" t="s">
        <v>223</v>
      </c>
      <c r="J6" s="81" t="s">
        <v>52</v>
      </c>
    </row>
    <row r="7" spans="1:13" ht="21" customHeight="1">
      <c r="A7" s="80">
        <v>7</v>
      </c>
      <c r="B7" s="96" t="s">
        <v>677</v>
      </c>
      <c r="C7" s="77"/>
      <c r="D7" s="162"/>
      <c r="E7" s="79">
        <v>7</v>
      </c>
      <c r="F7" s="97" t="s">
        <v>678</v>
      </c>
      <c r="G7" s="94" t="s">
        <v>52</v>
      </c>
      <c r="H7" s="83">
        <v>41</v>
      </c>
      <c r="I7" s="97" t="s">
        <v>214</v>
      </c>
      <c r="J7" s="77"/>
      <c r="M7" s="36"/>
    </row>
    <row r="8" spans="1:13" ht="21" customHeight="1">
      <c r="A8" s="80">
        <v>8</v>
      </c>
      <c r="B8" s="96" t="s">
        <v>679</v>
      </c>
      <c r="C8" s="77"/>
      <c r="D8" s="162"/>
      <c r="E8" s="79">
        <v>8</v>
      </c>
      <c r="F8" s="97" t="s">
        <v>518</v>
      </c>
      <c r="G8" s="94"/>
      <c r="H8" s="83">
        <v>42</v>
      </c>
      <c r="I8" s="97" t="s">
        <v>680</v>
      </c>
      <c r="J8" s="77"/>
    </row>
    <row r="9" spans="1:13" ht="21" customHeight="1">
      <c r="A9" s="74">
        <v>9</v>
      </c>
      <c r="B9" s="96" t="s">
        <v>516</v>
      </c>
      <c r="C9" s="77" t="s">
        <v>104</v>
      </c>
      <c r="D9" s="162"/>
      <c r="E9" s="79">
        <v>9</v>
      </c>
      <c r="F9" s="97" t="s">
        <v>160</v>
      </c>
      <c r="G9" s="94"/>
      <c r="H9" s="83">
        <v>43</v>
      </c>
      <c r="I9" s="97" t="s">
        <v>218</v>
      </c>
      <c r="J9" s="77"/>
    </row>
    <row r="10" spans="1:13" ht="21" customHeight="1">
      <c r="A10" s="74">
        <v>10</v>
      </c>
      <c r="B10" s="96" t="s">
        <v>567</v>
      </c>
      <c r="C10" s="77"/>
      <c r="D10" s="162"/>
      <c r="E10" s="79">
        <v>10</v>
      </c>
      <c r="F10" s="97" t="s">
        <v>158</v>
      </c>
      <c r="G10" s="94"/>
      <c r="H10" s="83">
        <v>44</v>
      </c>
      <c r="I10" s="97" t="s">
        <v>220</v>
      </c>
      <c r="J10" s="77"/>
    </row>
    <row r="11" spans="1:13" ht="21" customHeight="1">
      <c r="A11" s="74">
        <v>11</v>
      </c>
      <c r="B11" s="96" t="s">
        <v>576</v>
      </c>
      <c r="C11" s="77"/>
      <c r="D11" s="162"/>
      <c r="E11" s="80">
        <v>11</v>
      </c>
      <c r="F11" s="96" t="s">
        <v>163</v>
      </c>
      <c r="G11" s="94"/>
      <c r="H11" s="83">
        <v>45</v>
      </c>
      <c r="I11" s="97" t="s">
        <v>221</v>
      </c>
      <c r="J11" s="77"/>
    </row>
    <row r="12" spans="1:13" ht="21" customHeight="1">
      <c r="A12" s="74">
        <v>12</v>
      </c>
      <c r="B12" s="96" t="s">
        <v>681</v>
      </c>
      <c r="C12" s="77"/>
      <c r="D12" s="162"/>
      <c r="E12" s="80">
        <v>12</v>
      </c>
      <c r="F12" s="96" t="s">
        <v>682</v>
      </c>
      <c r="G12" s="94" t="s">
        <v>52</v>
      </c>
      <c r="H12" s="83">
        <v>46</v>
      </c>
      <c r="I12" s="97" t="s">
        <v>235</v>
      </c>
      <c r="J12" s="77"/>
    </row>
    <row r="13" spans="1:13" ht="21" customHeight="1">
      <c r="A13" s="74">
        <v>13</v>
      </c>
      <c r="B13" s="96" t="s">
        <v>608</v>
      </c>
      <c r="C13" s="77"/>
      <c r="D13" s="162"/>
      <c r="E13" s="80">
        <v>13</v>
      </c>
      <c r="F13" s="96" t="s">
        <v>171</v>
      </c>
      <c r="G13" s="94"/>
      <c r="H13" s="83">
        <v>47</v>
      </c>
      <c r="I13" s="97" t="s">
        <v>212</v>
      </c>
      <c r="J13" s="77"/>
    </row>
    <row r="14" spans="1:13" ht="21" customHeight="1">
      <c r="A14" s="74">
        <v>14</v>
      </c>
      <c r="B14" s="96" t="s">
        <v>555</v>
      </c>
      <c r="C14" s="77"/>
      <c r="D14" s="162"/>
      <c r="E14" s="80">
        <v>14</v>
      </c>
      <c r="F14" s="96" t="s">
        <v>683</v>
      </c>
      <c r="G14" s="94"/>
      <c r="H14" s="83">
        <v>48</v>
      </c>
      <c r="I14" s="97" t="s">
        <v>684</v>
      </c>
      <c r="J14" s="77" t="s">
        <v>104</v>
      </c>
    </row>
    <row r="15" spans="1:13" ht="21" customHeight="1">
      <c r="A15" s="74">
        <v>15</v>
      </c>
      <c r="B15" s="96" t="s">
        <v>685</v>
      </c>
      <c r="C15" s="77"/>
      <c r="D15" s="162"/>
      <c r="E15" s="80">
        <v>15</v>
      </c>
      <c r="F15" s="96" t="s">
        <v>686</v>
      </c>
      <c r="G15" s="94"/>
      <c r="H15" s="83">
        <v>49</v>
      </c>
      <c r="I15" s="97" t="s">
        <v>206</v>
      </c>
      <c r="J15" s="77"/>
    </row>
    <row r="16" spans="1:13" ht="21" customHeight="1">
      <c r="A16" s="74">
        <v>16</v>
      </c>
      <c r="B16" s="96" t="s">
        <v>687</v>
      </c>
      <c r="C16" s="77"/>
      <c r="D16" s="162"/>
      <c r="E16" s="80">
        <v>16</v>
      </c>
      <c r="F16" s="96" t="s">
        <v>688</v>
      </c>
      <c r="G16" s="94"/>
      <c r="H16" s="83">
        <v>50</v>
      </c>
      <c r="I16" s="97" t="s">
        <v>689</v>
      </c>
      <c r="J16" s="77" t="s">
        <v>104</v>
      </c>
    </row>
    <row r="17" spans="1:10" ht="21" customHeight="1">
      <c r="A17" s="79">
        <v>17</v>
      </c>
      <c r="B17" s="97" t="s">
        <v>533</v>
      </c>
      <c r="C17" s="77"/>
      <c r="D17" s="162"/>
      <c r="E17" s="80">
        <v>17</v>
      </c>
      <c r="F17" s="96" t="s">
        <v>690</v>
      </c>
      <c r="G17" s="94" t="s">
        <v>104</v>
      </c>
      <c r="H17" s="83">
        <v>51</v>
      </c>
      <c r="I17" s="97" t="s">
        <v>200</v>
      </c>
      <c r="J17" s="77"/>
    </row>
    <row r="18" spans="1:10" ht="21" customHeight="1">
      <c r="A18" s="93">
        <v>18</v>
      </c>
      <c r="B18" s="97" t="s">
        <v>530</v>
      </c>
      <c r="C18" s="77"/>
      <c r="D18" s="162"/>
      <c r="E18" s="80">
        <v>18</v>
      </c>
      <c r="F18" s="96" t="s">
        <v>691</v>
      </c>
      <c r="G18" s="94" t="s">
        <v>104</v>
      </c>
      <c r="H18" s="83">
        <v>52</v>
      </c>
      <c r="I18" s="97" t="s">
        <v>199</v>
      </c>
      <c r="J18" s="77" t="s">
        <v>104</v>
      </c>
    </row>
    <row r="19" spans="1:10" ht="21" customHeight="1">
      <c r="A19" s="79">
        <v>19</v>
      </c>
      <c r="B19" s="97" t="s">
        <v>527</v>
      </c>
      <c r="C19" s="77"/>
      <c r="D19" s="162"/>
      <c r="E19" s="79">
        <v>19</v>
      </c>
      <c r="F19" s="97" t="s">
        <v>692</v>
      </c>
      <c r="G19" s="94"/>
      <c r="H19" s="94">
        <v>53</v>
      </c>
      <c r="I19" s="98" t="s">
        <v>693</v>
      </c>
      <c r="J19" s="81" t="s">
        <v>52</v>
      </c>
    </row>
    <row r="20" spans="1:10" ht="21" customHeight="1">
      <c r="A20" s="93">
        <v>20</v>
      </c>
      <c r="B20" s="97" t="s">
        <v>509</v>
      </c>
      <c r="C20" s="77" t="s">
        <v>104</v>
      </c>
      <c r="D20" s="162"/>
      <c r="E20" s="79">
        <v>20</v>
      </c>
      <c r="F20" s="97" t="s">
        <v>694</v>
      </c>
      <c r="G20" s="94"/>
      <c r="H20" s="94">
        <v>54</v>
      </c>
      <c r="I20" s="98" t="s">
        <v>346</v>
      </c>
      <c r="J20" s="77" t="s">
        <v>104</v>
      </c>
    </row>
    <row r="21" spans="1:10" ht="21" customHeight="1">
      <c r="A21" s="79">
        <v>21</v>
      </c>
      <c r="B21" s="97" t="s">
        <v>513</v>
      </c>
      <c r="C21" s="77" t="s">
        <v>104</v>
      </c>
      <c r="D21" s="162"/>
      <c r="E21" s="79">
        <v>21</v>
      </c>
      <c r="F21" s="97" t="s">
        <v>175</v>
      </c>
      <c r="G21" s="94"/>
      <c r="H21" s="94">
        <v>55</v>
      </c>
      <c r="I21" s="98" t="s">
        <v>368</v>
      </c>
      <c r="J21" s="81"/>
    </row>
    <row r="22" spans="1:10" ht="21" customHeight="1">
      <c r="A22" s="93">
        <v>22</v>
      </c>
      <c r="B22" s="97" t="s">
        <v>519</v>
      </c>
      <c r="C22" s="77"/>
      <c r="D22" s="162"/>
      <c r="E22" s="80">
        <v>22</v>
      </c>
      <c r="F22" s="96" t="s">
        <v>667</v>
      </c>
      <c r="G22" s="94" t="s">
        <v>104</v>
      </c>
      <c r="H22" s="94">
        <v>56</v>
      </c>
      <c r="I22" s="98" t="s">
        <v>371</v>
      </c>
      <c r="J22" s="81"/>
    </row>
    <row r="23" spans="1:10" ht="21" customHeight="1">
      <c r="A23" s="79">
        <v>23</v>
      </c>
      <c r="B23" s="97" t="s">
        <v>521</v>
      </c>
      <c r="C23" s="77"/>
      <c r="D23" s="162"/>
      <c r="E23" s="80">
        <v>23</v>
      </c>
      <c r="F23" s="96" t="s">
        <v>269</v>
      </c>
      <c r="G23" s="94"/>
      <c r="H23" s="94">
        <v>57</v>
      </c>
      <c r="I23" s="98" t="s">
        <v>695</v>
      </c>
      <c r="J23" s="81" t="s">
        <v>52</v>
      </c>
    </row>
    <row r="24" spans="1:10" ht="21" customHeight="1">
      <c r="A24" s="93">
        <v>24</v>
      </c>
      <c r="B24" s="97" t="s">
        <v>103</v>
      </c>
      <c r="C24" s="77" t="s">
        <v>104</v>
      </c>
      <c r="D24" s="162"/>
      <c r="E24" s="80">
        <v>24</v>
      </c>
      <c r="F24" s="96" t="s">
        <v>666</v>
      </c>
      <c r="G24" s="94" t="s">
        <v>104</v>
      </c>
      <c r="H24" s="94">
        <v>58</v>
      </c>
      <c r="I24" s="98" t="s">
        <v>696</v>
      </c>
      <c r="J24" s="77" t="s">
        <v>104</v>
      </c>
    </row>
    <row r="25" spans="1:10" ht="21" customHeight="1">
      <c r="A25" s="80">
        <v>25</v>
      </c>
      <c r="B25" s="98" t="s">
        <v>401</v>
      </c>
      <c r="C25" s="77"/>
      <c r="D25" s="162"/>
      <c r="E25" s="80">
        <v>25</v>
      </c>
      <c r="F25" s="96" t="s">
        <v>697</v>
      </c>
      <c r="G25" s="94"/>
      <c r="H25" s="83">
        <v>59</v>
      </c>
      <c r="I25" s="97" t="s">
        <v>698</v>
      </c>
      <c r="J25" s="77"/>
    </row>
    <row r="26" spans="1:10" ht="21" customHeight="1">
      <c r="A26" s="74">
        <v>26</v>
      </c>
      <c r="B26" s="98" t="s">
        <v>399</v>
      </c>
      <c r="C26" s="77"/>
      <c r="D26" s="162"/>
      <c r="E26" s="80">
        <v>26</v>
      </c>
      <c r="F26" s="96" t="s">
        <v>274</v>
      </c>
      <c r="G26" s="94"/>
      <c r="H26" s="83">
        <v>60</v>
      </c>
      <c r="I26" s="97" t="s">
        <v>388</v>
      </c>
      <c r="J26" s="81" t="s">
        <v>52</v>
      </c>
    </row>
    <row r="27" spans="1:10" ht="21" customHeight="1">
      <c r="A27" s="80">
        <v>27</v>
      </c>
      <c r="B27" s="98" t="s">
        <v>646</v>
      </c>
      <c r="C27" s="77" t="s">
        <v>104</v>
      </c>
      <c r="D27" s="162"/>
      <c r="E27" s="80">
        <v>27</v>
      </c>
      <c r="F27" s="96" t="s">
        <v>279</v>
      </c>
      <c r="G27" s="94"/>
      <c r="H27" s="83">
        <v>61</v>
      </c>
      <c r="I27" s="97" t="s">
        <v>383</v>
      </c>
      <c r="J27" s="81"/>
    </row>
    <row r="28" spans="1:10" ht="21" customHeight="1">
      <c r="A28" s="74">
        <v>28</v>
      </c>
      <c r="B28" s="98" t="s">
        <v>395</v>
      </c>
      <c r="C28" s="77"/>
      <c r="D28" s="163"/>
      <c r="E28" s="80">
        <v>28</v>
      </c>
      <c r="F28" s="96" t="s">
        <v>699</v>
      </c>
      <c r="G28" s="94"/>
      <c r="H28" s="83">
        <v>62</v>
      </c>
      <c r="I28" s="97" t="s">
        <v>700</v>
      </c>
      <c r="J28" s="81"/>
    </row>
    <row r="29" spans="1:10" ht="21" customHeight="1">
      <c r="A29" s="79">
        <v>29</v>
      </c>
      <c r="B29" s="97" t="s">
        <v>502</v>
      </c>
      <c r="C29" s="81"/>
      <c r="D29" s="163"/>
      <c r="E29" s="80">
        <v>29</v>
      </c>
      <c r="F29" s="96" t="s">
        <v>281</v>
      </c>
      <c r="G29" s="94"/>
      <c r="H29" s="83">
        <v>63</v>
      </c>
      <c r="I29" s="168" t="s">
        <v>701</v>
      </c>
      <c r="J29" s="81"/>
    </row>
    <row r="30" spans="1:10" ht="21" customHeight="1">
      <c r="A30" s="79">
        <v>30</v>
      </c>
      <c r="B30" s="97" t="s">
        <v>702</v>
      </c>
      <c r="C30" s="81"/>
      <c r="D30" s="163"/>
      <c r="E30" s="80">
        <v>30</v>
      </c>
      <c r="F30" s="96" t="s">
        <v>290</v>
      </c>
      <c r="G30" s="94"/>
      <c r="H30" s="83"/>
      <c r="I30" s="169" t="s">
        <v>703</v>
      </c>
      <c r="J30" s="81"/>
    </row>
    <row r="31" spans="1:10" ht="21" customHeight="1">
      <c r="A31" s="79">
        <v>31</v>
      </c>
      <c r="B31" s="97" t="s">
        <v>704</v>
      </c>
      <c r="C31" s="81"/>
      <c r="D31" s="163"/>
      <c r="E31" s="80">
        <v>31</v>
      </c>
      <c r="F31" s="96" t="s">
        <v>705</v>
      </c>
      <c r="G31" s="94" t="s">
        <v>52</v>
      </c>
      <c r="H31" s="94"/>
      <c r="I31" s="98"/>
      <c r="J31" s="81"/>
    </row>
    <row r="32" spans="1:10" ht="21" customHeight="1">
      <c r="A32" s="79">
        <v>32</v>
      </c>
      <c r="B32" s="97" t="s">
        <v>99</v>
      </c>
      <c r="C32" s="81"/>
      <c r="D32" s="163"/>
      <c r="E32" s="79">
        <v>32</v>
      </c>
      <c r="F32" s="97" t="s">
        <v>706</v>
      </c>
      <c r="G32" s="94" t="s">
        <v>104</v>
      </c>
      <c r="H32" s="33"/>
      <c r="I32" s="101" t="s">
        <v>707</v>
      </c>
      <c r="J32" s="77"/>
    </row>
    <row r="33" spans="1:10" ht="21" customHeight="1">
      <c r="A33" s="74"/>
      <c r="B33" s="98"/>
      <c r="C33" s="81"/>
      <c r="D33" s="163"/>
      <c r="E33" s="79">
        <v>33</v>
      </c>
      <c r="F33" s="97" t="s">
        <v>708</v>
      </c>
      <c r="G33" s="94" t="s">
        <v>104</v>
      </c>
      <c r="H33" s="33"/>
      <c r="I33" s="96"/>
      <c r="J33" s="81"/>
    </row>
    <row r="34" spans="1:10" ht="21" customHeight="1">
      <c r="A34" s="75"/>
      <c r="B34" s="99"/>
      <c r="C34" s="82"/>
      <c r="D34" s="163"/>
      <c r="E34" s="193">
        <v>34</v>
      </c>
      <c r="F34" s="194" t="s">
        <v>314</v>
      </c>
      <c r="G34" s="125" t="s">
        <v>104</v>
      </c>
      <c r="H34" s="78"/>
      <c r="I34" s="102"/>
      <c r="J34" s="82"/>
    </row>
    <row r="35" spans="1:10" ht="21" customHeight="1">
      <c r="B35" s="166"/>
      <c r="C35" s="76"/>
      <c r="I35" s="103"/>
    </row>
    <row r="36" spans="1:10" ht="21" customHeight="1">
      <c r="A36" s="36"/>
      <c r="B36" s="3"/>
      <c r="C36" s="76"/>
      <c r="D36" s="72"/>
      <c r="E36" s="71"/>
      <c r="I36" s="103"/>
    </row>
    <row r="37" spans="1:10" ht="21" customHeight="1">
      <c r="A37" s="36"/>
      <c r="B37" s="3"/>
      <c r="C37" s="76"/>
      <c r="D37" s="72"/>
      <c r="I37" s="103"/>
    </row>
    <row r="38" spans="1:10" ht="21" customHeight="1">
      <c r="A38" s="36"/>
      <c r="B38" s="3"/>
      <c r="C38" s="76"/>
      <c r="D38" s="72"/>
      <c r="E38" s="36"/>
      <c r="F38" s="3"/>
      <c r="G38" s="76"/>
      <c r="I38" s="103"/>
    </row>
    <row r="39" spans="1:10" ht="21" customHeight="1">
      <c r="A39" s="36"/>
      <c r="B39" s="3"/>
      <c r="C39" s="76"/>
      <c r="D39" s="72"/>
      <c r="E39" s="36"/>
      <c r="F39" s="3"/>
      <c r="G39" s="76"/>
    </row>
    <row r="40" spans="1:10" ht="21" customHeight="1">
      <c r="A40" s="36"/>
      <c r="B40" s="3"/>
      <c r="C40" s="76"/>
      <c r="D40" s="72"/>
      <c r="E40" s="36"/>
      <c r="F40" s="3"/>
      <c r="G40" s="76"/>
      <c r="H40" s="36"/>
      <c r="I40" s="3"/>
    </row>
    <row r="41" spans="1:10" ht="21" customHeight="1">
      <c r="A41" s="36"/>
      <c r="B41" s="3"/>
      <c r="C41" s="76"/>
      <c r="D41" s="72"/>
      <c r="E41" s="36"/>
      <c r="F41" s="3"/>
      <c r="G41" s="76"/>
      <c r="H41" s="36"/>
      <c r="I41" s="3"/>
    </row>
    <row r="42" spans="1:10" ht="21" customHeight="1">
      <c r="A42" s="36"/>
      <c r="B42" s="3"/>
      <c r="C42" s="76"/>
      <c r="D42" s="72"/>
      <c r="E42" s="36"/>
      <c r="F42" s="3"/>
      <c r="G42" s="76"/>
      <c r="H42" s="36"/>
      <c r="I42" s="3"/>
    </row>
    <row r="43" spans="1:10">
      <c r="A43" s="36"/>
      <c r="B43" s="3"/>
      <c r="C43" s="76"/>
      <c r="D43" s="72"/>
      <c r="E43" s="36"/>
      <c r="F43" s="3"/>
      <c r="G43" s="76"/>
      <c r="H43" s="36"/>
      <c r="I43" s="3"/>
    </row>
    <row r="44" spans="1:10">
      <c r="A44" s="36"/>
      <c r="B44" s="3"/>
      <c r="C44" s="76"/>
      <c r="D44" s="72"/>
      <c r="E44" s="36"/>
      <c r="F44" s="3"/>
      <c r="G44" s="76"/>
      <c r="H44" s="36"/>
      <c r="I44" s="3"/>
    </row>
    <row r="45" spans="1:10">
      <c r="A45" s="36"/>
      <c r="B45" s="3"/>
      <c r="C45" s="76"/>
      <c r="D45" s="72"/>
      <c r="E45" s="36"/>
      <c r="F45" s="3"/>
      <c r="G45" s="76"/>
      <c r="H45" s="36"/>
      <c r="I45" s="3"/>
    </row>
    <row r="46" spans="1:10">
      <c r="A46" s="36"/>
      <c r="B46" s="3"/>
      <c r="C46" s="76"/>
      <c r="D46" s="72"/>
      <c r="E46" s="36"/>
      <c r="F46" s="3"/>
      <c r="G46" s="76"/>
      <c r="H46" s="36"/>
      <c r="I46" s="3"/>
    </row>
    <row r="47" spans="1:10">
      <c r="A47" s="36"/>
      <c r="B47" s="3"/>
      <c r="C47" s="76"/>
      <c r="D47" s="72"/>
      <c r="E47" s="36"/>
      <c r="F47" s="3"/>
      <c r="G47" s="76"/>
      <c r="H47" s="36"/>
      <c r="I47" s="3"/>
    </row>
    <row r="48" spans="1:10">
      <c r="A48" s="36"/>
      <c r="B48" s="3"/>
      <c r="C48" s="76"/>
      <c r="D48" s="72"/>
      <c r="E48" s="36"/>
      <c r="F48" s="3"/>
      <c r="G48" s="76"/>
      <c r="H48" s="36"/>
      <c r="I48" s="3"/>
    </row>
    <row r="49" spans="1:9">
      <c r="A49" s="36"/>
      <c r="B49" s="3"/>
      <c r="C49" s="76"/>
      <c r="D49" s="72"/>
      <c r="E49" s="36"/>
      <c r="F49" s="3"/>
      <c r="G49" s="76"/>
      <c r="H49" s="36"/>
      <c r="I49" s="3"/>
    </row>
    <row r="50" spans="1:9">
      <c r="A50" s="36"/>
      <c r="B50" s="3"/>
      <c r="C50" s="76"/>
      <c r="D50" s="72"/>
      <c r="E50" s="36"/>
      <c r="F50" s="3"/>
      <c r="G50" s="76"/>
      <c r="H50" s="36"/>
      <c r="I50" s="3"/>
    </row>
    <row r="51" spans="1:9">
      <c r="A51" s="36"/>
      <c r="B51" s="3"/>
      <c r="C51" s="76"/>
      <c r="D51" s="72"/>
      <c r="E51" s="36"/>
      <c r="F51" s="3"/>
      <c r="G51" s="76"/>
      <c r="H51" s="36"/>
      <c r="I51" s="3"/>
    </row>
    <row r="52" spans="1:9">
      <c r="A52" s="36"/>
      <c r="B52" s="3"/>
      <c r="C52" s="76"/>
      <c r="D52" s="72"/>
      <c r="E52" s="36"/>
      <c r="F52" s="3"/>
      <c r="G52" s="76"/>
      <c r="H52" s="36"/>
      <c r="I52" s="3"/>
    </row>
    <row r="53" spans="1:9">
      <c r="A53" s="36"/>
      <c r="B53" s="3"/>
      <c r="C53" s="76"/>
      <c r="D53" s="72"/>
      <c r="E53" s="36"/>
      <c r="F53" s="3"/>
      <c r="G53" s="76"/>
      <c r="H53" s="36"/>
      <c r="I53" s="3"/>
    </row>
    <row r="54" spans="1:9">
      <c r="A54" s="36"/>
      <c r="B54" s="3"/>
      <c r="C54" s="76"/>
      <c r="D54" s="72"/>
      <c r="E54" s="36"/>
      <c r="F54" s="3"/>
      <c r="G54" s="76"/>
      <c r="H54" s="36"/>
      <c r="I54" s="3"/>
    </row>
    <row r="55" spans="1:9">
      <c r="A55" s="36"/>
      <c r="B55" s="3"/>
      <c r="C55" s="76"/>
      <c r="D55" s="72"/>
      <c r="E55" s="36"/>
      <c r="F55" s="3"/>
      <c r="G55" s="76"/>
      <c r="H55" s="36"/>
      <c r="I55" s="3"/>
    </row>
    <row r="56" spans="1:9">
      <c r="A56" s="36"/>
      <c r="B56" s="3"/>
      <c r="C56" s="76"/>
      <c r="D56" s="72"/>
      <c r="E56" s="36"/>
      <c r="F56" s="3"/>
      <c r="G56" s="76"/>
      <c r="H56" s="36"/>
      <c r="I56" s="3"/>
    </row>
    <row r="57" spans="1:9">
      <c r="D57" s="72"/>
      <c r="E57" s="36"/>
      <c r="F57" s="3"/>
      <c r="G57" s="76"/>
      <c r="H57" s="36"/>
      <c r="I57" s="3"/>
    </row>
    <row r="58" spans="1:9">
      <c r="D58" s="72"/>
      <c r="E58" s="36"/>
      <c r="F58" s="3"/>
      <c r="G58" s="76"/>
      <c r="H58" s="36"/>
      <c r="I58" s="3"/>
    </row>
    <row r="59" spans="1:9">
      <c r="E59" s="36"/>
      <c r="F59" s="3"/>
      <c r="G59" s="76"/>
      <c r="H59" s="36"/>
      <c r="I59" s="3"/>
    </row>
    <row r="60" spans="1:9">
      <c r="H60" s="36"/>
      <c r="I60" s="3"/>
    </row>
    <row r="61" spans="1:9">
      <c r="H61" s="36"/>
      <c r="I61" s="3"/>
    </row>
    <row r="62" spans="1:9">
      <c r="H62" s="36"/>
      <c r="I62" s="3"/>
    </row>
    <row r="63" spans="1:9">
      <c r="I63" s="3"/>
    </row>
  </sheetData>
  <phoneticPr fontId="1"/>
  <printOptions horizontalCentered="1"/>
  <pageMargins left="0.39370078740157483" right="0.39370078740157483" top="0.98425196850393704" bottom="0.39370078740157483" header="0.31496062992125978" footer="0.31496062992125978"/>
  <pageSetup paperSize="9" fitToHeight="0" orientation="portrait"/>
  <headerFooter scaleWithDoc="0">
    <oddHeader>&amp;L&amp;9 (有)上野清掃社　
TEL 0595-36-2448&amp;C&amp;14 水曜日可燃収集表&amp;R&amp;P/&amp;N</oddHeader>
    <oddFooter>&amp;L&amp;9 西山伸一作成&amp;R&amp;9 &amp;D/&amp;T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J36"/>
  <sheetViews>
    <sheetView zoomScale="92" zoomScaleNormal="92" zoomScaleSheetLayoutView="85" zoomScalePageLayoutView="90" workbookViewId="0">
      <selection activeCell="L4" sqref="L4"/>
    </sheetView>
  </sheetViews>
  <sheetFormatPr baseColWidth="10" defaultColWidth="8.83203125" defaultRowHeight="17"/>
  <cols>
    <col min="1" max="1" width="2.83203125" style="39" customWidth="1"/>
    <col min="2" max="2" width="6" style="39" customWidth="1"/>
    <col min="3" max="3" width="27" style="39" customWidth="1"/>
    <col min="4" max="4" width="4.5" style="58" customWidth="1"/>
    <col min="5" max="5" width="1.6640625" style="39" customWidth="1"/>
    <col min="6" max="6" width="2.83203125" style="42" customWidth="1"/>
    <col min="7" max="7" width="6" style="39" customWidth="1"/>
    <col min="8" max="8" width="27" style="39" customWidth="1"/>
    <col min="9" max="9" width="4.5" style="39" customWidth="1"/>
    <col min="10" max="10" width="8.83203125" style="39" customWidth="1"/>
    <col min="11" max="16384" width="8.83203125" style="39"/>
  </cols>
  <sheetData>
    <row r="1" spans="1:10" ht="29.5" customHeight="1">
      <c r="A1" s="195" t="s">
        <v>709</v>
      </c>
      <c r="B1" s="195"/>
      <c r="C1" s="195"/>
      <c r="D1" s="195"/>
      <c r="E1" s="195"/>
      <c r="F1" s="195"/>
      <c r="G1" s="195"/>
      <c r="H1" s="195"/>
      <c r="I1" s="195"/>
    </row>
    <row r="2" spans="1:10" ht="29.5" customHeight="1">
      <c r="A2" s="62"/>
      <c r="B2" s="62"/>
      <c r="C2" s="62"/>
      <c r="D2" s="62"/>
      <c r="E2" s="62"/>
      <c r="F2" s="62"/>
      <c r="G2" s="62"/>
      <c r="H2" s="62"/>
      <c r="I2" s="62"/>
    </row>
    <row r="3" spans="1:10" ht="26.5" customHeight="1">
      <c r="A3" s="104">
        <v>1</v>
      </c>
      <c r="B3" s="105" t="s">
        <v>626</v>
      </c>
      <c r="C3" s="106" t="s">
        <v>710</v>
      </c>
      <c r="D3" s="107"/>
      <c r="F3" s="108">
        <v>1</v>
      </c>
      <c r="G3" s="109" t="s">
        <v>380</v>
      </c>
      <c r="H3" s="110" t="s">
        <v>700</v>
      </c>
      <c r="I3" s="111"/>
    </row>
    <row r="4" spans="1:10" ht="26.5" customHeight="1">
      <c r="A4" s="66">
        <v>2</v>
      </c>
      <c r="B4" s="67" t="s">
        <v>25</v>
      </c>
      <c r="C4" s="68" t="s">
        <v>711</v>
      </c>
      <c r="D4" s="69" t="s">
        <v>52</v>
      </c>
      <c r="F4" s="59">
        <v>2</v>
      </c>
      <c r="G4" s="47" t="s">
        <v>380</v>
      </c>
      <c r="H4" s="40" t="s">
        <v>388</v>
      </c>
      <c r="I4" s="41"/>
      <c r="J4" s="42"/>
    </row>
    <row r="5" spans="1:10" ht="26.5" customHeight="1">
      <c r="A5" s="104">
        <v>3</v>
      </c>
      <c r="B5" s="67" t="s">
        <v>25</v>
      </c>
      <c r="C5" s="68" t="s">
        <v>712</v>
      </c>
      <c r="D5" s="69" t="s">
        <v>52</v>
      </c>
      <c r="F5" s="108">
        <v>3</v>
      </c>
      <c r="G5" s="47" t="s">
        <v>380</v>
      </c>
      <c r="H5" s="40" t="s">
        <v>696</v>
      </c>
      <c r="I5" s="41" t="s">
        <v>52</v>
      </c>
    </row>
    <row r="6" spans="1:10" ht="26.5" customHeight="1">
      <c r="A6" s="104">
        <v>4</v>
      </c>
      <c r="B6" s="67" t="s">
        <v>25</v>
      </c>
      <c r="C6" s="68" t="s">
        <v>103</v>
      </c>
      <c r="D6" s="69" t="s">
        <v>104</v>
      </c>
      <c r="F6" s="66">
        <v>4</v>
      </c>
      <c r="G6" s="67" t="s">
        <v>341</v>
      </c>
      <c r="H6" s="68" t="s">
        <v>713</v>
      </c>
      <c r="I6" s="69" t="s">
        <v>52</v>
      </c>
    </row>
    <row r="7" spans="1:10" ht="26.5" customHeight="1">
      <c r="A7" s="60">
        <v>5</v>
      </c>
      <c r="B7" s="45" t="s">
        <v>504</v>
      </c>
      <c r="C7" s="43" t="s">
        <v>516</v>
      </c>
      <c r="D7" s="44" t="s">
        <v>104</v>
      </c>
      <c r="F7" s="65">
        <v>5</v>
      </c>
      <c r="G7" s="67" t="s">
        <v>341</v>
      </c>
      <c r="H7" s="68" t="s">
        <v>714</v>
      </c>
      <c r="I7" s="69"/>
    </row>
    <row r="8" spans="1:10" ht="26.5" customHeight="1">
      <c r="A8" s="119">
        <v>6</v>
      </c>
      <c r="B8" s="45" t="s">
        <v>504</v>
      </c>
      <c r="C8" s="43" t="s">
        <v>555</v>
      </c>
      <c r="D8" s="44"/>
      <c r="F8" s="66">
        <v>6</v>
      </c>
      <c r="G8" s="67" t="s">
        <v>341</v>
      </c>
      <c r="H8" s="68" t="s">
        <v>346</v>
      </c>
      <c r="I8" s="69" t="s">
        <v>104</v>
      </c>
    </row>
    <row r="9" spans="1:10" ht="26.5" customHeight="1">
      <c r="A9" s="119">
        <v>7</v>
      </c>
      <c r="B9" s="45" t="s">
        <v>504</v>
      </c>
      <c r="C9" s="43" t="s">
        <v>576</v>
      </c>
      <c r="D9" s="44"/>
      <c r="F9" s="108">
        <v>7</v>
      </c>
      <c r="G9" s="45" t="s">
        <v>600</v>
      </c>
      <c r="H9" s="43" t="s">
        <v>672</v>
      </c>
      <c r="I9" s="44" t="s">
        <v>52</v>
      </c>
    </row>
    <row r="10" spans="1:10" ht="26.5" customHeight="1">
      <c r="A10" s="60">
        <v>8</v>
      </c>
      <c r="B10" s="45" t="s">
        <v>504</v>
      </c>
      <c r="C10" s="43" t="s">
        <v>513</v>
      </c>
      <c r="D10" s="44" t="s">
        <v>104</v>
      </c>
      <c r="F10" s="66">
        <v>8</v>
      </c>
      <c r="G10" s="67" t="s">
        <v>224</v>
      </c>
      <c r="H10" s="70" t="s">
        <v>259</v>
      </c>
      <c r="I10" s="69" t="s">
        <v>104</v>
      </c>
    </row>
    <row r="11" spans="1:10" ht="26.5" customHeight="1">
      <c r="A11" s="119">
        <v>9</v>
      </c>
      <c r="B11" s="45" t="s">
        <v>504</v>
      </c>
      <c r="C11" s="43" t="s">
        <v>509</v>
      </c>
      <c r="D11" s="44" t="s">
        <v>104</v>
      </c>
      <c r="F11" s="65">
        <v>9</v>
      </c>
      <c r="G11" s="67" t="s">
        <v>224</v>
      </c>
      <c r="H11" s="68" t="s">
        <v>257</v>
      </c>
      <c r="I11" s="69"/>
    </row>
    <row r="12" spans="1:10" ht="26.5" customHeight="1">
      <c r="A12" s="104">
        <v>10</v>
      </c>
      <c r="B12" s="67" t="s">
        <v>626</v>
      </c>
      <c r="C12" s="68" t="s">
        <v>678</v>
      </c>
      <c r="D12" s="69" t="s">
        <v>52</v>
      </c>
      <c r="F12" s="59">
        <v>10</v>
      </c>
      <c r="G12" s="45" t="s">
        <v>600</v>
      </c>
      <c r="H12" s="43" t="s">
        <v>715</v>
      </c>
      <c r="I12" s="44" t="s">
        <v>104</v>
      </c>
    </row>
    <row r="13" spans="1:10" ht="26.5" customHeight="1">
      <c r="A13" s="66">
        <v>11</v>
      </c>
      <c r="B13" s="67" t="s">
        <v>626</v>
      </c>
      <c r="C13" s="68" t="s">
        <v>683</v>
      </c>
      <c r="D13" s="69"/>
      <c r="F13" s="108">
        <v>11</v>
      </c>
      <c r="G13" s="45" t="s">
        <v>600</v>
      </c>
      <c r="H13" s="43" t="s">
        <v>705</v>
      </c>
      <c r="I13" s="44" t="s">
        <v>52</v>
      </c>
    </row>
    <row r="14" spans="1:10" ht="26.5" customHeight="1">
      <c r="A14" s="104">
        <v>12</v>
      </c>
      <c r="B14" s="67" t="s">
        <v>626</v>
      </c>
      <c r="C14" s="68" t="s">
        <v>716</v>
      </c>
      <c r="D14" s="69" t="s">
        <v>52</v>
      </c>
      <c r="F14" s="59">
        <v>12</v>
      </c>
      <c r="G14" s="45" t="s">
        <v>600</v>
      </c>
      <c r="H14" s="43" t="s">
        <v>303</v>
      </c>
      <c r="I14" s="44" t="s">
        <v>104</v>
      </c>
    </row>
    <row r="15" spans="1:10" ht="26.5" customHeight="1">
      <c r="A15" s="104">
        <v>13</v>
      </c>
      <c r="B15" s="67" t="s">
        <v>626</v>
      </c>
      <c r="C15" s="68" t="s">
        <v>682</v>
      </c>
      <c r="D15" s="69" t="s">
        <v>52</v>
      </c>
      <c r="F15" s="108">
        <v>13</v>
      </c>
      <c r="G15" s="47" t="s">
        <v>409</v>
      </c>
      <c r="H15" s="40" t="s">
        <v>717</v>
      </c>
      <c r="I15" s="41" t="s">
        <v>52</v>
      </c>
    </row>
    <row r="16" spans="1:10" ht="26.5" customHeight="1">
      <c r="A16" s="60">
        <v>14</v>
      </c>
      <c r="B16" s="45" t="s">
        <v>718</v>
      </c>
      <c r="C16" s="43" t="s">
        <v>236</v>
      </c>
      <c r="D16" s="44" t="s">
        <v>104</v>
      </c>
      <c r="F16" s="66">
        <v>14</v>
      </c>
      <c r="G16" s="67" t="s">
        <v>504</v>
      </c>
      <c r="H16" s="68" t="s">
        <v>412</v>
      </c>
      <c r="I16" s="69"/>
    </row>
    <row r="17" spans="1:10" ht="26.5" customHeight="1">
      <c r="A17" s="119">
        <v>15</v>
      </c>
      <c r="B17" s="45" t="s">
        <v>718</v>
      </c>
      <c r="C17" s="43" t="s">
        <v>214</v>
      </c>
      <c r="D17" s="44"/>
      <c r="F17" s="59"/>
      <c r="G17" s="45"/>
      <c r="H17" s="46"/>
      <c r="I17" s="44"/>
    </row>
    <row r="18" spans="1:10" ht="26.5" customHeight="1">
      <c r="A18" s="119">
        <v>16</v>
      </c>
      <c r="B18" s="45" t="s">
        <v>718</v>
      </c>
      <c r="C18" s="43" t="s">
        <v>204</v>
      </c>
      <c r="D18" s="44" t="s">
        <v>104</v>
      </c>
      <c r="F18" s="59"/>
      <c r="G18" s="45"/>
      <c r="H18" s="46"/>
      <c r="I18" s="44"/>
      <c r="J18" s="50"/>
    </row>
    <row r="19" spans="1:10" ht="26.5" customHeight="1">
      <c r="A19" s="60">
        <v>17</v>
      </c>
      <c r="B19" s="45" t="s">
        <v>718</v>
      </c>
      <c r="C19" s="43" t="s">
        <v>206</v>
      </c>
      <c r="D19" s="44"/>
      <c r="F19" s="59"/>
      <c r="G19" s="45"/>
      <c r="H19" s="46"/>
      <c r="I19" s="44"/>
    </row>
    <row r="20" spans="1:10" ht="26.5" customHeight="1">
      <c r="A20" s="119">
        <v>18</v>
      </c>
      <c r="B20" s="45" t="s">
        <v>718</v>
      </c>
      <c r="C20" s="43" t="s">
        <v>689</v>
      </c>
      <c r="D20" s="44" t="s">
        <v>104</v>
      </c>
      <c r="F20" s="59"/>
      <c r="G20" s="45"/>
      <c r="H20" s="46"/>
      <c r="I20" s="44"/>
    </row>
    <row r="21" spans="1:10" ht="26.5" customHeight="1">
      <c r="A21" s="119">
        <v>19</v>
      </c>
      <c r="B21" s="45" t="s">
        <v>718</v>
      </c>
      <c r="C21" s="43" t="s">
        <v>194</v>
      </c>
      <c r="D21" s="44"/>
      <c r="F21" s="59"/>
      <c r="G21" s="47"/>
      <c r="H21" s="48"/>
      <c r="I21" s="49"/>
    </row>
    <row r="22" spans="1:10" ht="26.5" customHeight="1">
      <c r="A22" s="60">
        <v>20</v>
      </c>
      <c r="B22" s="45" t="s">
        <v>718</v>
      </c>
      <c r="C22" s="43" t="s">
        <v>652</v>
      </c>
      <c r="D22" s="44" t="s">
        <v>52</v>
      </c>
      <c r="F22" s="231" t="s">
        <v>719</v>
      </c>
      <c r="G22" s="232"/>
      <c r="H22" s="232"/>
      <c r="I22" s="233"/>
    </row>
    <row r="23" spans="1:10" ht="26.5" customHeight="1">
      <c r="A23" s="104">
        <v>21</v>
      </c>
      <c r="B23" s="67" t="s">
        <v>459</v>
      </c>
      <c r="C23" s="68" t="s">
        <v>477</v>
      </c>
      <c r="D23" s="69"/>
      <c r="E23" s="50"/>
      <c r="F23" s="120"/>
      <c r="G23" s="121" t="s">
        <v>25</v>
      </c>
      <c r="H23" s="122" t="s">
        <v>720</v>
      </c>
      <c r="I23" s="123"/>
    </row>
    <row r="24" spans="1:10" ht="26.5" customHeight="1">
      <c r="A24" s="59"/>
      <c r="B24" s="47"/>
      <c r="C24" s="40"/>
      <c r="D24" s="41"/>
      <c r="E24" s="50"/>
      <c r="F24" s="64"/>
      <c r="G24" s="61" t="s">
        <v>25</v>
      </c>
      <c r="H24" s="51" t="s">
        <v>721</v>
      </c>
      <c r="I24" s="52"/>
    </row>
    <row r="25" spans="1:10" ht="26.5" customHeight="1">
      <c r="A25" s="164"/>
      <c r="B25" s="112"/>
      <c r="C25" s="113"/>
      <c r="D25" s="114"/>
      <c r="E25" s="50"/>
      <c r="F25" s="63"/>
      <c r="G25" s="53" t="s">
        <v>25</v>
      </c>
      <c r="H25" s="55" t="s">
        <v>722</v>
      </c>
      <c r="I25" s="54"/>
    </row>
    <row r="26" spans="1:10" ht="26.5" customHeight="1">
      <c r="A26" s="165"/>
      <c r="B26" s="115"/>
      <c r="C26" s="116"/>
      <c r="D26" s="117"/>
      <c r="E26" s="50"/>
      <c r="F26" s="56"/>
      <c r="G26" s="50"/>
      <c r="H26" s="50"/>
      <c r="I26" s="57"/>
    </row>
    <row r="27" spans="1:10" ht="18.75" customHeight="1">
      <c r="A27" s="118"/>
      <c r="B27" s="118"/>
      <c r="C27" s="50"/>
      <c r="D27" s="57"/>
      <c r="E27" s="50"/>
      <c r="F27" s="56"/>
      <c r="G27" s="50"/>
      <c r="H27" s="50"/>
      <c r="I27" s="57"/>
    </row>
    <row r="28" spans="1:10" ht="18.75" customHeight="1">
      <c r="A28" s="118"/>
      <c r="B28" s="118"/>
      <c r="C28" s="56"/>
      <c r="D28" s="57"/>
      <c r="E28" s="50"/>
      <c r="F28" s="56"/>
      <c r="G28" s="50"/>
      <c r="H28" s="50"/>
      <c r="I28" s="57"/>
    </row>
    <row r="29" spans="1:10" ht="18.75" customHeight="1">
      <c r="A29" s="56"/>
      <c r="B29" s="50"/>
      <c r="C29" s="50"/>
      <c r="D29" s="57"/>
      <c r="E29" s="50"/>
      <c r="F29" s="56"/>
      <c r="G29" s="50"/>
      <c r="H29" s="50"/>
      <c r="I29" s="57"/>
    </row>
    <row r="30" spans="1:10" ht="18.75" customHeight="1">
      <c r="A30" s="56"/>
      <c r="B30" s="50"/>
      <c r="C30" s="50"/>
      <c r="D30" s="57"/>
      <c r="E30" s="50"/>
      <c r="F30" s="56"/>
      <c r="G30" s="50"/>
      <c r="H30" s="50"/>
      <c r="I30" s="57"/>
    </row>
    <row r="31" spans="1:10" ht="18.75" customHeight="1">
      <c r="A31" s="56"/>
      <c r="B31" s="50"/>
      <c r="C31" s="50"/>
      <c r="D31" s="57"/>
      <c r="E31" s="50"/>
      <c r="F31" s="56"/>
      <c r="G31" s="50"/>
      <c r="H31" s="50"/>
      <c r="I31" s="57"/>
    </row>
    <row r="32" spans="1:10" ht="18.75" customHeight="1">
      <c r="A32" s="56"/>
      <c r="B32" s="50"/>
      <c r="C32" s="50"/>
      <c r="D32" s="57"/>
      <c r="E32" s="50"/>
      <c r="F32" s="56"/>
      <c r="G32" s="50"/>
      <c r="H32" s="50"/>
      <c r="I32" s="50"/>
    </row>
    <row r="33" spans="1:9" ht="18.75" customHeight="1">
      <c r="A33" s="56"/>
      <c r="B33" s="50"/>
      <c r="C33" s="50"/>
      <c r="D33" s="57"/>
      <c r="E33" s="50"/>
      <c r="F33" s="56"/>
      <c r="G33" s="50"/>
      <c r="H33" s="50"/>
      <c r="I33" s="50"/>
    </row>
    <row r="34" spans="1:9">
      <c r="A34" s="56"/>
      <c r="B34" s="50"/>
      <c r="C34" s="50"/>
      <c r="D34" s="57"/>
      <c r="G34" s="50"/>
      <c r="H34" s="50"/>
      <c r="I34" s="50"/>
    </row>
    <row r="35" spans="1:9">
      <c r="A35" s="56"/>
      <c r="B35" s="50"/>
      <c r="C35" s="50"/>
      <c r="D35" s="57"/>
    </row>
    <row r="36" spans="1:9">
      <c r="A36" s="56"/>
      <c r="B36" s="50"/>
      <c r="C36" s="50"/>
      <c r="D36" s="57"/>
    </row>
  </sheetData>
  <mergeCells count="1">
    <mergeCell ref="F22:I22"/>
  </mergeCells>
  <phoneticPr fontId="1"/>
  <conditionalFormatting sqref="H10">
    <cfRule type="containsText" dxfId="3" priority="1" operator="containsText" text="kg">
      <formula>NOT(ISERROR(SEARCH("kg",#REF!)))</formula>
    </cfRule>
    <cfRule type="containsText" dxfId="2" priority="2" operator="containsText" text="袋">
      <formula>NOT(ISERROR(SEARCH("袋",#REF!)))</formula>
    </cfRule>
  </conditionalFormatting>
  <printOptions horizontalCentered="1" verticalCentered="1"/>
  <pageMargins left="0.19685039370078741" right="0.19685039370078741" top="0.39370078740157483" bottom="0.19685039370078741" header="0.31496062992125978" footer="0.31496062992125978"/>
  <pageSetup paperSize="9" fitToHeight="0" orientation="portrait" horizontalDpi="4294967293" verticalDpi="429496729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pageSetUpPr fitToPage="1"/>
  </sheetPr>
  <dimension ref="A1:J41"/>
  <sheetViews>
    <sheetView showGridLines="0" showRuler="0" view="pageBreakPreview" zoomScaleNormal="100" zoomScaleSheetLayoutView="100" workbookViewId="0">
      <selection activeCell="G10" sqref="G10"/>
    </sheetView>
  </sheetViews>
  <sheetFormatPr baseColWidth="10" defaultColWidth="8.1640625" defaultRowHeight="20"/>
  <cols>
    <col min="1" max="1" width="4" style="19" customWidth="1"/>
    <col min="2" max="2" width="15.1640625" style="19" customWidth="1"/>
    <col min="3" max="3" width="44.1640625" style="19" customWidth="1"/>
    <col min="4" max="4" width="11.6640625" style="20" customWidth="1"/>
    <col min="5" max="5" width="8.1640625" style="159" customWidth="1"/>
    <col min="6" max="16384" width="8.1640625" style="159"/>
  </cols>
  <sheetData>
    <row r="1" spans="1:10" ht="18.75" customHeight="1">
      <c r="A1" s="149">
        <v>1</v>
      </c>
      <c r="B1" s="158" t="s">
        <v>394</v>
      </c>
      <c r="C1" s="158" t="s">
        <v>395</v>
      </c>
      <c r="D1" s="150"/>
    </row>
    <row r="2" spans="1:10" ht="18.75" customHeight="1">
      <c r="A2" s="151">
        <v>2</v>
      </c>
      <c r="B2" s="148" t="s">
        <v>394</v>
      </c>
      <c r="C2" s="148" t="s">
        <v>723</v>
      </c>
      <c r="D2" s="152" t="s">
        <v>104</v>
      </c>
    </row>
    <row r="3" spans="1:10" ht="18.75" customHeight="1">
      <c r="A3" s="153">
        <v>3</v>
      </c>
      <c r="B3" s="18" t="s">
        <v>25</v>
      </c>
      <c r="C3" s="18" t="s">
        <v>599</v>
      </c>
      <c r="D3" s="154" t="s">
        <v>645</v>
      </c>
      <c r="J3" s="160"/>
    </row>
    <row r="4" spans="1:10" ht="18.75" customHeight="1">
      <c r="A4" s="153">
        <v>4</v>
      </c>
      <c r="B4" s="18" t="s">
        <v>25</v>
      </c>
      <c r="C4" s="18" t="s">
        <v>724</v>
      </c>
      <c r="D4" s="154" t="s">
        <v>645</v>
      </c>
    </row>
    <row r="5" spans="1:10" ht="18.75" customHeight="1">
      <c r="A5" s="153">
        <v>5</v>
      </c>
      <c r="B5" s="18" t="s">
        <v>25</v>
      </c>
      <c r="C5" s="18" t="s">
        <v>89</v>
      </c>
      <c r="D5" s="154"/>
    </row>
    <row r="6" spans="1:10" ht="18.75" customHeight="1">
      <c r="A6" s="153">
        <v>6</v>
      </c>
      <c r="B6" s="18" t="s">
        <v>504</v>
      </c>
      <c r="C6" s="18" t="s">
        <v>555</v>
      </c>
      <c r="D6" s="154"/>
    </row>
    <row r="7" spans="1:10" ht="18.75" customHeight="1">
      <c r="A7" s="153">
        <v>7</v>
      </c>
      <c r="B7" s="18" t="s">
        <v>504</v>
      </c>
      <c r="C7" s="18" t="s">
        <v>725</v>
      </c>
      <c r="D7" s="154"/>
    </row>
    <row r="8" spans="1:10" ht="18.75" customHeight="1">
      <c r="A8" s="153">
        <v>8</v>
      </c>
      <c r="B8" s="18" t="s">
        <v>504</v>
      </c>
      <c r="C8" s="18" t="s">
        <v>726</v>
      </c>
      <c r="D8" s="154"/>
    </row>
    <row r="9" spans="1:10" ht="18.75" customHeight="1">
      <c r="A9" s="153">
        <v>9</v>
      </c>
      <c r="B9" s="18" t="s">
        <v>504</v>
      </c>
      <c r="C9" s="18" t="s">
        <v>727</v>
      </c>
      <c r="D9" s="154"/>
    </row>
    <row r="10" spans="1:10" ht="18.5" customHeight="1">
      <c r="A10" s="153">
        <v>10</v>
      </c>
      <c r="B10" s="18" t="s">
        <v>504</v>
      </c>
      <c r="C10" s="18" t="s">
        <v>522</v>
      </c>
      <c r="D10" s="154"/>
    </row>
    <row r="11" spans="1:10" ht="18.5" customHeight="1">
      <c r="A11" s="151">
        <v>11</v>
      </c>
      <c r="B11" s="148" t="s">
        <v>115</v>
      </c>
      <c r="C11" s="148" t="s">
        <v>172</v>
      </c>
      <c r="D11" s="152" t="s">
        <v>645</v>
      </c>
    </row>
    <row r="12" spans="1:10" ht="18.75" customHeight="1">
      <c r="A12" s="151">
        <v>12</v>
      </c>
      <c r="B12" s="148" t="s">
        <v>115</v>
      </c>
      <c r="C12" s="148" t="s">
        <v>181</v>
      </c>
      <c r="D12" s="152"/>
    </row>
    <row r="13" spans="1:10" ht="18.75" customHeight="1">
      <c r="A13" s="151">
        <v>13</v>
      </c>
      <c r="B13" s="148" t="s">
        <v>266</v>
      </c>
      <c r="C13" s="148" t="s">
        <v>267</v>
      </c>
      <c r="D13" s="152"/>
    </row>
    <row r="14" spans="1:10" ht="18.75" customHeight="1">
      <c r="A14" s="151">
        <v>14</v>
      </c>
      <c r="B14" s="148" t="s">
        <v>266</v>
      </c>
      <c r="C14" s="148" t="s">
        <v>269</v>
      </c>
      <c r="D14" s="152"/>
    </row>
    <row r="15" spans="1:10" ht="18.75" customHeight="1">
      <c r="A15" s="151">
        <v>15</v>
      </c>
      <c r="B15" s="148" t="s">
        <v>266</v>
      </c>
      <c r="C15" s="148" t="s">
        <v>271</v>
      </c>
      <c r="D15" s="152" t="s">
        <v>104</v>
      </c>
    </row>
    <row r="16" spans="1:10" ht="18.75" customHeight="1">
      <c r="A16" s="151">
        <v>16</v>
      </c>
      <c r="B16" s="148" t="s">
        <v>266</v>
      </c>
      <c r="C16" s="148" t="s">
        <v>279</v>
      </c>
      <c r="D16" s="152"/>
    </row>
    <row r="17" spans="1:4" ht="18.75" customHeight="1">
      <c r="A17" s="151">
        <v>17</v>
      </c>
      <c r="B17" s="148" t="s">
        <v>266</v>
      </c>
      <c r="C17" s="148" t="s">
        <v>290</v>
      </c>
      <c r="D17" s="152"/>
    </row>
    <row r="18" spans="1:4" ht="18.75" customHeight="1">
      <c r="A18" s="153">
        <v>18</v>
      </c>
      <c r="B18" s="18" t="s">
        <v>718</v>
      </c>
      <c r="C18" s="18" t="s">
        <v>212</v>
      </c>
      <c r="D18" s="154"/>
    </row>
    <row r="19" spans="1:4" ht="18.75" customHeight="1">
      <c r="A19" s="153">
        <v>19</v>
      </c>
      <c r="B19" s="18" t="s">
        <v>718</v>
      </c>
      <c r="C19" s="18" t="s">
        <v>631</v>
      </c>
      <c r="D19" s="154"/>
    </row>
    <row r="20" spans="1:4" ht="18.75" customHeight="1">
      <c r="A20" s="153">
        <v>20</v>
      </c>
      <c r="B20" s="18" t="s">
        <v>718</v>
      </c>
      <c r="C20" s="18" t="s">
        <v>221</v>
      </c>
      <c r="D20" s="154"/>
    </row>
    <row r="21" spans="1:4" ht="18.75" customHeight="1">
      <c r="A21" s="151">
        <v>21</v>
      </c>
      <c r="B21" s="148" t="s">
        <v>481</v>
      </c>
      <c r="C21" s="148" t="s">
        <v>728</v>
      </c>
      <c r="D21" s="152"/>
    </row>
    <row r="22" spans="1:4" ht="18.75" customHeight="1">
      <c r="A22" s="151">
        <v>22</v>
      </c>
      <c r="B22" s="148" t="s">
        <v>481</v>
      </c>
      <c r="C22" s="148" t="s">
        <v>490</v>
      </c>
      <c r="D22" s="152"/>
    </row>
    <row r="23" spans="1:4" ht="18.75" customHeight="1">
      <c r="A23" s="151">
        <v>23</v>
      </c>
      <c r="B23" s="148" t="s">
        <v>481</v>
      </c>
      <c r="C23" s="148" t="s">
        <v>493</v>
      </c>
      <c r="D23" s="152"/>
    </row>
    <row r="24" spans="1:4" ht="18.75" customHeight="1">
      <c r="A24" s="153">
        <v>24</v>
      </c>
      <c r="B24" s="18" t="s">
        <v>341</v>
      </c>
      <c r="C24" s="18" t="s">
        <v>658</v>
      </c>
      <c r="D24" s="154"/>
    </row>
    <row r="25" spans="1:4" ht="18.75" customHeight="1">
      <c r="A25" s="153">
        <v>25</v>
      </c>
      <c r="B25" s="18" t="s">
        <v>341</v>
      </c>
      <c r="C25" s="18" t="s">
        <v>729</v>
      </c>
      <c r="D25" s="154" t="s">
        <v>645</v>
      </c>
    </row>
    <row r="26" spans="1:4" ht="18.75" customHeight="1">
      <c r="A26" s="151">
        <v>26</v>
      </c>
      <c r="B26" s="148" t="s">
        <v>459</v>
      </c>
      <c r="C26" s="148" t="s">
        <v>477</v>
      </c>
      <c r="D26" s="152"/>
    </row>
    <row r="27" spans="1:4" ht="18.75" customHeight="1">
      <c r="A27" s="151">
        <v>27</v>
      </c>
      <c r="B27" s="148" t="s">
        <v>459</v>
      </c>
      <c r="C27" s="148" t="s">
        <v>730</v>
      </c>
      <c r="D27" s="155"/>
    </row>
    <row r="28" spans="1:4" ht="18.75" customHeight="1">
      <c r="A28" s="151">
        <v>28</v>
      </c>
      <c r="B28" s="148" t="s">
        <v>459</v>
      </c>
      <c r="C28" s="148" t="s">
        <v>731</v>
      </c>
      <c r="D28" s="152"/>
    </row>
    <row r="29" spans="1:4" ht="18.75" customHeight="1">
      <c r="A29" s="156"/>
      <c r="B29" s="161"/>
      <c r="C29" s="161"/>
      <c r="D29" s="157"/>
    </row>
    <row r="30" spans="1:4" ht="18.75" customHeight="1"/>
    <row r="31" spans="1:4" ht="18.75" customHeight="1"/>
    <row r="32" spans="1:4" ht="18.75" customHeight="1"/>
    <row r="33" ht="18.75" customHeight="1"/>
    <row r="34" ht="18.75" customHeight="1"/>
    <row r="35" ht="18.75" customHeight="1"/>
    <row r="36" ht="18.75" customHeight="1"/>
    <row r="37" ht="15.75" customHeight="1"/>
    <row r="38" ht="15.75" customHeight="1"/>
    <row r="39" ht="15.75" customHeight="1"/>
    <row r="40" ht="15.75" customHeight="1"/>
    <row r="41" ht="15.75" customHeight="1"/>
  </sheetData>
  <phoneticPr fontId="1"/>
  <printOptions horizontalCentered="1" verticalCentered="1"/>
  <pageMargins left="0.70866141732283472" right="0.70866141732283472" top="0.74803149606299213" bottom="0.74803149606299213" header="0.31496062992125978" footer="0.31496062992125978"/>
  <pageSetup paperSize="9" fitToHeight="0" orientation="portrait" r:id="rId1"/>
  <headerFooter>
    <oddHeader>&amp;L&amp;9 （有）上野清掃社
TEL0595-36-2448&amp;C&amp;16 土曜日ガラ収集表&amp;R&amp;P/&amp;N</oddHeader>
    <oddFooter>&amp;L西山伸一作成&amp;R&amp;D/&amp;T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pageSetUpPr fitToPage="1"/>
  </sheetPr>
  <dimension ref="A1:I39"/>
  <sheetViews>
    <sheetView showRuler="0" view="pageLayout" zoomScaleNormal="100" workbookViewId="0">
      <selection activeCell="E20" sqref="E20"/>
    </sheetView>
  </sheetViews>
  <sheetFormatPr baseColWidth="10" defaultColWidth="8.83203125" defaultRowHeight="18"/>
  <cols>
    <col min="1" max="6" width="20.1640625" style="227" customWidth="1"/>
    <col min="7" max="9" width="14.6640625" style="227" customWidth="1"/>
  </cols>
  <sheetData>
    <row r="1" spans="1:6" ht="20" customHeight="1">
      <c r="A1" s="11" t="s">
        <v>8</v>
      </c>
      <c r="B1" s="11" t="s">
        <v>9</v>
      </c>
      <c r="C1" s="11" t="s">
        <v>10</v>
      </c>
      <c r="D1" s="11" t="s">
        <v>11</v>
      </c>
      <c r="E1" s="11" t="s">
        <v>12</v>
      </c>
      <c r="F1" s="5" t="s">
        <v>13</v>
      </c>
    </row>
    <row r="2" spans="1:6" ht="20" customHeight="1">
      <c r="A2" s="32" t="s">
        <v>732</v>
      </c>
      <c r="B2" s="32" t="s">
        <v>732</v>
      </c>
      <c r="C2" s="5" t="s">
        <v>733</v>
      </c>
      <c r="D2" s="6" t="s">
        <v>35</v>
      </c>
      <c r="E2" s="32" t="s">
        <v>732</v>
      </c>
      <c r="F2" s="5" t="s">
        <v>734</v>
      </c>
    </row>
    <row r="3" spans="1:6" ht="20" customHeight="1">
      <c r="A3" s="5" t="s">
        <v>296</v>
      </c>
      <c r="B3" s="5" t="s">
        <v>735</v>
      </c>
      <c r="C3" s="5"/>
      <c r="D3" s="6" t="s">
        <v>45</v>
      </c>
      <c r="E3" s="5" t="s">
        <v>555</v>
      </c>
      <c r="F3" s="5" t="s">
        <v>736</v>
      </c>
    </row>
    <row r="4" spans="1:6" ht="20" customHeight="1">
      <c r="A4" s="5" t="s">
        <v>290</v>
      </c>
      <c r="B4" s="5" t="s">
        <v>555</v>
      </c>
      <c r="C4" s="5"/>
      <c r="D4" s="6" t="s">
        <v>71</v>
      </c>
      <c r="E4" s="5" t="s">
        <v>275</v>
      </c>
      <c r="F4" s="32" t="s">
        <v>732</v>
      </c>
    </row>
    <row r="5" spans="1:6" ht="20" customHeight="1">
      <c r="A5" s="5" t="s">
        <v>281</v>
      </c>
      <c r="B5" s="5" t="s">
        <v>737</v>
      </c>
      <c r="C5" s="5"/>
      <c r="D5" s="6" t="s">
        <v>738</v>
      </c>
      <c r="E5" s="5" t="s">
        <v>281</v>
      </c>
      <c r="F5" s="5" t="s">
        <v>555</v>
      </c>
    </row>
    <row r="6" spans="1:6" ht="20" customHeight="1">
      <c r="A6" s="5"/>
      <c r="B6" s="5" t="s">
        <v>275</v>
      </c>
      <c r="C6" s="5"/>
      <c r="D6" s="32" t="s">
        <v>732</v>
      </c>
      <c r="E6" s="5" t="s">
        <v>290</v>
      </c>
      <c r="F6" s="5" t="s">
        <v>739</v>
      </c>
    </row>
    <row r="7" spans="1:6" ht="20" customHeight="1">
      <c r="A7" s="5"/>
      <c r="B7" s="5" t="s">
        <v>281</v>
      </c>
      <c r="C7" s="5"/>
      <c r="D7" s="6" t="s">
        <v>486</v>
      </c>
      <c r="E7" s="5" t="s">
        <v>740</v>
      </c>
      <c r="F7" s="5" t="s">
        <v>741</v>
      </c>
    </row>
    <row r="8" spans="1:6" ht="20" customHeight="1">
      <c r="A8" s="5"/>
      <c r="B8" s="5" t="s">
        <v>742</v>
      </c>
      <c r="C8" s="5"/>
      <c r="D8" s="6" t="s">
        <v>665</v>
      </c>
      <c r="E8" s="21" t="s">
        <v>743</v>
      </c>
      <c r="F8" s="5"/>
    </row>
    <row r="9" spans="1:6" ht="20" customHeight="1">
      <c r="A9" s="5"/>
      <c r="B9" s="5" t="s">
        <v>654</v>
      </c>
      <c r="C9" s="5"/>
      <c r="D9" s="6" t="s">
        <v>296</v>
      </c>
      <c r="E9" s="5" t="s">
        <v>744</v>
      </c>
      <c r="F9" s="6" t="s">
        <v>745</v>
      </c>
    </row>
    <row r="10" spans="1:6" ht="20" customHeight="1">
      <c r="A10" s="5"/>
      <c r="B10" s="5"/>
      <c r="C10" s="5"/>
      <c r="D10" s="5"/>
      <c r="E10" s="5" t="s">
        <v>654</v>
      </c>
      <c r="F10" s="6" t="s">
        <v>746</v>
      </c>
    </row>
    <row r="11" spans="1:6" ht="20" customHeight="1">
      <c r="A11" s="5"/>
      <c r="B11" s="5"/>
      <c r="C11" s="5"/>
      <c r="D11" s="5"/>
      <c r="E11" s="5"/>
      <c r="F11" s="6" t="s">
        <v>747</v>
      </c>
    </row>
    <row r="12" spans="1:6" ht="20" customHeight="1">
      <c r="A12" s="5"/>
      <c r="B12" s="5"/>
      <c r="C12" s="5"/>
      <c r="D12" s="5"/>
      <c r="E12" s="5"/>
      <c r="F12" s="6" t="s">
        <v>748</v>
      </c>
    </row>
    <row r="13" spans="1:6" ht="20" customHeight="1">
      <c r="A13" s="5"/>
      <c r="B13" s="5"/>
      <c r="C13" s="5"/>
      <c r="D13" s="5"/>
      <c r="E13" s="5"/>
      <c r="F13" s="5"/>
    </row>
    <row r="14" spans="1:6" ht="20" customHeight="1">
      <c r="A14" s="5"/>
      <c r="B14" s="5"/>
      <c r="C14" s="5"/>
      <c r="D14" s="5"/>
      <c r="E14" s="5"/>
      <c r="F14" s="5"/>
    </row>
    <row r="15" spans="1:6" ht="20" customHeight="1">
      <c r="A15" s="5"/>
      <c r="B15" s="5"/>
      <c r="C15" s="5"/>
      <c r="D15" s="5"/>
      <c r="E15" s="5"/>
      <c r="F15" s="5"/>
    </row>
    <row r="16" spans="1:6" ht="20" customHeight="1">
      <c r="A16" s="5"/>
      <c r="B16" s="5"/>
      <c r="C16" s="5"/>
      <c r="D16" s="5"/>
      <c r="E16" s="5"/>
      <c r="F16" s="5"/>
    </row>
    <row r="17" spans="1:6" ht="20" customHeight="1">
      <c r="A17" s="5"/>
      <c r="B17" s="5"/>
      <c r="C17" s="5"/>
      <c r="D17" s="5"/>
      <c r="E17" s="5"/>
      <c r="F17" s="5"/>
    </row>
    <row r="18" spans="1:6" ht="20" customHeight="1">
      <c r="A18" s="5"/>
      <c r="B18" s="5"/>
      <c r="C18" s="6" t="s">
        <v>749</v>
      </c>
      <c r="D18" s="5"/>
      <c r="E18" s="5"/>
      <c r="F18" s="5"/>
    </row>
    <row r="19" spans="1:6" ht="20" customHeight="1">
      <c r="A19" s="5"/>
      <c r="B19" s="5"/>
      <c r="C19" s="32" t="s">
        <v>750</v>
      </c>
      <c r="D19" s="5"/>
      <c r="E19" s="5"/>
      <c r="F19" s="5"/>
    </row>
    <row r="20" spans="1:6" ht="20" customHeight="1">
      <c r="A20" s="5"/>
      <c r="B20" s="5"/>
      <c r="C20" s="5"/>
      <c r="D20" s="5"/>
      <c r="E20" s="5"/>
      <c r="F20" s="5"/>
    </row>
    <row r="21" spans="1:6" ht="20" customHeight="1">
      <c r="A21" s="5"/>
      <c r="B21" s="5"/>
      <c r="C21" s="5"/>
      <c r="D21" s="5"/>
      <c r="E21" s="5"/>
      <c r="F21" s="5"/>
    </row>
    <row r="22" spans="1:6" ht="20" customHeight="1">
      <c r="A22" s="5"/>
      <c r="B22" s="5"/>
      <c r="C22" s="5"/>
      <c r="D22" s="5"/>
      <c r="E22" s="5"/>
      <c r="F22" s="5"/>
    </row>
    <row r="23" spans="1:6" ht="20" customHeight="1">
      <c r="A23" s="5"/>
      <c r="B23" s="5"/>
      <c r="C23" s="5"/>
      <c r="E23" s="5"/>
      <c r="F23" s="5"/>
    </row>
    <row r="24" spans="1:6" ht="20" customHeight="1">
      <c r="C24" s="22"/>
    </row>
    <row r="25" spans="1:6" ht="20" customHeight="1"/>
    <row r="26" spans="1:6" ht="20" customHeight="1"/>
    <row r="27" spans="1:6" ht="18" customHeight="1"/>
    <row r="28" spans="1:6" ht="18" customHeight="1"/>
    <row r="29" spans="1:6" ht="18" customHeight="1"/>
    <row r="30" spans="1:6" ht="18" customHeight="1"/>
    <row r="31" spans="1:6" ht="18" customHeight="1"/>
    <row r="32" spans="1:6" ht="18" customHeight="1"/>
    <row r="33" ht="18" customHeight="1"/>
    <row r="34" ht="18" customHeight="1"/>
    <row r="35" ht="18" customHeight="1"/>
    <row r="36" ht="18" customHeight="1"/>
    <row r="37" ht="18" customHeight="1"/>
    <row r="38" ht="18" customHeight="1"/>
    <row r="39" ht="18" customHeight="1"/>
  </sheetData>
  <phoneticPr fontId="1"/>
  <pageMargins left="0.7" right="0.7" top="0.75" bottom="0.75" header="0.3" footer="0.3"/>
  <pageSetup paperSize="9" fitToHeight="0" orientation="landscape" r:id="rId1"/>
  <headerFooter>
    <oddHeader>&amp;C段ボール回収スケジュール表&amp;R&amp;P/&amp;N</oddHeader>
    <oddFooter>&amp;R&amp;D
&amp;T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E43"/>
  <sheetViews>
    <sheetView zoomScaleNormal="100" zoomScaleSheetLayoutView="98" workbookViewId="0">
      <selection activeCell="I3" sqref="I3"/>
    </sheetView>
  </sheetViews>
  <sheetFormatPr baseColWidth="10" defaultColWidth="8.1640625" defaultRowHeight="24"/>
  <cols>
    <col min="1" max="1" width="4" style="181" customWidth="1"/>
    <col min="2" max="2" width="15.1640625" style="181" customWidth="1"/>
    <col min="3" max="3" width="6" style="191" customWidth="1"/>
    <col min="4" max="4" width="40" style="181" customWidth="1"/>
    <col min="5" max="5" width="11.6640625" style="182" customWidth="1"/>
    <col min="6" max="6" width="8.1640625" style="173" customWidth="1"/>
    <col min="7" max="16384" width="8.1640625" style="173"/>
  </cols>
  <sheetData>
    <row r="1" spans="1:5" s="170" customFormat="1" ht="65" customHeight="1">
      <c r="A1" s="234" t="s">
        <v>751</v>
      </c>
      <c r="B1" s="235"/>
      <c r="C1" s="235"/>
      <c r="D1" s="235"/>
      <c r="E1" s="235"/>
    </row>
    <row r="2" spans="1:5" s="170" customFormat="1" ht="36.5" customHeight="1">
      <c r="A2" s="192"/>
      <c r="B2" s="192"/>
      <c r="C2" s="192"/>
      <c r="D2" s="192"/>
      <c r="E2" s="192"/>
    </row>
    <row r="3" spans="1:5" ht="30.5" customHeight="1">
      <c r="A3" s="171">
        <v>1</v>
      </c>
      <c r="B3" s="171" t="s">
        <v>25</v>
      </c>
      <c r="C3" s="187" t="s">
        <v>53</v>
      </c>
      <c r="D3" s="183" t="s">
        <v>45</v>
      </c>
      <c r="E3" s="172"/>
    </row>
    <row r="4" spans="1:5" ht="30.5" customHeight="1">
      <c r="A4" s="174">
        <v>2</v>
      </c>
      <c r="B4" s="174" t="s">
        <v>25</v>
      </c>
      <c r="C4" s="188" t="s">
        <v>53</v>
      </c>
      <c r="D4" s="184" t="s">
        <v>35</v>
      </c>
      <c r="E4" s="175"/>
    </row>
    <row r="5" spans="1:5" ht="30.5" customHeight="1">
      <c r="A5" s="174">
        <v>3</v>
      </c>
      <c r="B5" s="174" t="s">
        <v>25</v>
      </c>
      <c r="C5" s="188" t="s">
        <v>53</v>
      </c>
      <c r="D5" s="184" t="s">
        <v>752</v>
      </c>
      <c r="E5" s="175"/>
    </row>
    <row r="6" spans="1:5" ht="30.5" customHeight="1">
      <c r="A6" s="174">
        <v>4</v>
      </c>
      <c r="B6" s="174" t="s">
        <v>25</v>
      </c>
      <c r="C6" s="188"/>
      <c r="D6" s="184" t="s">
        <v>753</v>
      </c>
      <c r="E6" s="175" t="s">
        <v>645</v>
      </c>
    </row>
    <row r="7" spans="1:5" ht="30.5" customHeight="1">
      <c r="A7" s="176">
        <v>5</v>
      </c>
      <c r="B7" s="176" t="s">
        <v>86</v>
      </c>
      <c r="C7" s="189" t="s">
        <v>53</v>
      </c>
      <c r="D7" s="185" t="s">
        <v>754</v>
      </c>
      <c r="E7" s="177" t="s">
        <v>645</v>
      </c>
    </row>
    <row r="8" spans="1:5" ht="30.5" customHeight="1">
      <c r="A8" s="176">
        <v>6</v>
      </c>
      <c r="B8" s="176" t="s">
        <v>86</v>
      </c>
      <c r="C8" s="189" t="s">
        <v>53</v>
      </c>
      <c r="D8" s="185" t="s">
        <v>91</v>
      </c>
      <c r="E8" s="177"/>
    </row>
    <row r="9" spans="1:5" ht="30.5" customHeight="1">
      <c r="A9" s="174">
        <v>7</v>
      </c>
      <c r="B9" s="174" t="s">
        <v>504</v>
      </c>
      <c r="C9" s="188"/>
      <c r="D9" s="184" t="s">
        <v>755</v>
      </c>
      <c r="E9" s="175" t="s">
        <v>645</v>
      </c>
    </row>
    <row r="10" spans="1:5" ht="30.5" customHeight="1">
      <c r="A10" s="174">
        <v>8</v>
      </c>
      <c r="B10" s="174" t="s">
        <v>504</v>
      </c>
      <c r="C10" s="188"/>
      <c r="D10" s="184" t="s">
        <v>756</v>
      </c>
      <c r="E10" s="175" t="s">
        <v>645</v>
      </c>
    </row>
    <row r="11" spans="1:5" ht="30.5" customHeight="1">
      <c r="A11" s="174">
        <v>9</v>
      </c>
      <c r="B11" s="174" t="s">
        <v>504</v>
      </c>
      <c r="C11" s="188"/>
      <c r="D11" s="184" t="s">
        <v>757</v>
      </c>
      <c r="E11" s="175" t="s">
        <v>645</v>
      </c>
    </row>
    <row r="12" spans="1:5" ht="30.5" customHeight="1">
      <c r="A12" s="174">
        <v>10</v>
      </c>
      <c r="B12" s="174" t="s">
        <v>504</v>
      </c>
      <c r="C12" s="188" t="s">
        <v>53</v>
      </c>
      <c r="D12" s="184" t="s">
        <v>555</v>
      </c>
      <c r="E12" s="175"/>
    </row>
    <row r="13" spans="1:5" ht="30.5" customHeight="1">
      <c r="A13" s="176">
        <v>11</v>
      </c>
      <c r="B13" s="176" t="s">
        <v>115</v>
      </c>
      <c r="C13" s="189"/>
      <c r="D13" s="185" t="s">
        <v>758</v>
      </c>
      <c r="E13" s="177" t="s">
        <v>645</v>
      </c>
    </row>
    <row r="14" spans="1:5" ht="30.5" customHeight="1">
      <c r="A14" s="176">
        <v>12</v>
      </c>
      <c r="B14" s="176" t="s">
        <v>115</v>
      </c>
      <c r="C14" s="189"/>
      <c r="D14" s="185" t="s">
        <v>759</v>
      </c>
      <c r="E14" s="177" t="s">
        <v>645</v>
      </c>
    </row>
    <row r="15" spans="1:5" ht="30.5" customHeight="1">
      <c r="A15" s="174">
        <v>13</v>
      </c>
      <c r="B15" s="174" t="s">
        <v>224</v>
      </c>
      <c r="C15" s="188"/>
      <c r="D15" s="184" t="s">
        <v>760</v>
      </c>
      <c r="E15" s="175" t="s">
        <v>645</v>
      </c>
    </row>
    <row r="16" spans="1:5" ht="30.5" customHeight="1">
      <c r="A16" s="176">
        <v>14</v>
      </c>
      <c r="B16" s="176" t="s">
        <v>266</v>
      </c>
      <c r="C16" s="189"/>
      <c r="D16" s="185" t="s">
        <v>761</v>
      </c>
      <c r="E16" s="177" t="s">
        <v>645</v>
      </c>
    </row>
    <row r="17" spans="1:5" ht="30.5" customHeight="1">
      <c r="A17" s="176">
        <v>15</v>
      </c>
      <c r="B17" s="176" t="s">
        <v>266</v>
      </c>
      <c r="C17" s="189"/>
      <c r="D17" s="185" t="s">
        <v>762</v>
      </c>
      <c r="E17" s="178" t="s">
        <v>763</v>
      </c>
    </row>
    <row r="18" spans="1:5" ht="30.5" customHeight="1">
      <c r="A18" s="176">
        <v>16</v>
      </c>
      <c r="B18" s="176" t="s">
        <v>266</v>
      </c>
      <c r="C18" s="189" t="s">
        <v>53</v>
      </c>
      <c r="D18" s="185" t="s">
        <v>281</v>
      </c>
      <c r="E18" s="177"/>
    </row>
    <row r="19" spans="1:5" ht="30.5" customHeight="1">
      <c r="A19" s="176">
        <v>17</v>
      </c>
      <c r="B19" s="176" t="s">
        <v>266</v>
      </c>
      <c r="C19" s="189"/>
      <c r="D19" s="185" t="s">
        <v>764</v>
      </c>
      <c r="E19" s="177" t="s">
        <v>645</v>
      </c>
    </row>
    <row r="20" spans="1:5" ht="30.5" customHeight="1">
      <c r="A20" s="174">
        <v>18</v>
      </c>
      <c r="B20" s="174" t="s">
        <v>316</v>
      </c>
      <c r="C20" s="188"/>
      <c r="D20" s="184" t="s">
        <v>765</v>
      </c>
      <c r="E20" s="175"/>
    </row>
    <row r="21" spans="1:5" ht="30.5" customHeight="1">
      <c r="A21" s="176">
        <v>19</v>
      </c>
      <c r="B21" s="176" t="s">
        <v>341</v>
      </c>
      <c r="C21" s="189"/>
      <c r="D21" s="185" t="s">
        <v>766</v>
      </c>
      <c r="E21" s="177" t="s">
        <v>645</v>
      </c>
    </row>
    <row r="22" spans="1:5" ht="30.5" customHeight="1">
      <c r="A22" s="179">
        <v>20</v>
      </c>
      <c r="B22" s="179" t="s">
        <v>341</v>
      </c>
      <c r="C22" s="190"/>
      <c r="D22" s="186" t="s">
        <v>767</v>
      </c>
      <c r="E22" s="180" t="s">
        <v>763</v>
      </c>
    </row>
    <row r="23" spans="1:5" ht="18.75" customHeight="1"/>
    <row r="24" spans="1:5" ht="18.75" customHeight="1"/>
    <row r="25" spans="1:5" ht="18.75" customHeight="1"/>
    <row r="26" spans="1:5" ht="18.75" customHeight="1"/>
    <row r="27" spans="1:5" ht="18.75" customHeight="1"/>
    <row r="28" spans="1:5" ht="18.75" customHeight="1"/>
    <row r="29" spans="1:5" ht="18.75" customHeight="1">
      <c r="E29" s="181"/>
    </row>
    <row r="30" spans="1:5" ht="18.75" customHeight="1"/>
    <row r="31" spans="1:5" ht="18.75" customHeight="1"/>
    <row r="32" spans="1:5" ht="18.75" customHeight="1"/>
    <row r="33" ht="18.75" customHeight="1"/>
    <row r="34" ht="18.75" customHeight="1"/>
    <row r="35" ht="18.75" customHeight="1"/>
    <row r="36" ht="18.75" customHeight="1"/>
    <row r="37" ht="18.75" customHeight="1"/>
    <row r="38" ht="18.75" customHeight="1"/>
    <row r="39" ht="15.75" customHeight="1"/>
    <row r="40" ht="15.75" customHeight="1"/>
    <row r="41" ht="15.75" customHeight="1"/>
    <row r="42" ht="15.75" customHeight="1"/>
    <row r="43" ht="15.75" customHeight="1"/>
  </sheetData>
  <mergeCells count="1">
    <mergeCell ref="A1:E1"/>
  </mergeCells>
  <phoneticPr fontId="1"/>
  <printOptions horizontalCentered="1" verticalCentered="1"/>
  <pageMargins left="0.70866141732283472" right="0.70866141732283472" top="0.15748031496062989" bottom="0" header="0.31496062992125978" footer="0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ワークシート</vt:lpstr>
      </vt:variant>
      <vt:variant>
        <vt:i4>10</vt:i4>
      </vt:variant>
      <vt:variant>
        <vt:lpstr>名前付き一覧</vt:lpstr>
      </vt:variant>
      <vt:variant>
        <vt:i4>7</vt:i4>
      </vt:variant>
    </vt:vector>
  </HeadingPairs>
  <TitlesOfParts>
    <vt:vector size="17" baseType="lpstr">
      <vt:lpstr>2026年度担当者物件表  20260127</vt:lpstr>
      <vt:lpstr>水曜日金属（行ってるとこコバ）</vt:lpstr>
      <vt:lpstr>水曜日金属収集表  (改定)</vt:lpstr>
      <vt:lpstr>水曜日金属収集表  (uejii)</vt:lpstr>
      <vt:lpstr>水曜日金属収集表 </vt:lpstr>
      <vt:lpstr>水曜日可燃収集表 (20250709)</vt:lpstr>
      <vt:lpstr>土曜日物件表 20250624</vt:lpstr>
      <vt:lpstr>ガラ集物件（20250709）</vt:lpstr>
      <vt:lpstr>段ボール週間予定表</vt:lpstr>
      <vt:lpstr>ダンボール収集表</vt:lpstr>
      <vt:lpstr>'ガラ集物件（20250709）'!Print_Area</vt:lpstr>
      <vt:lpstr>ダンボール収集表!Print_Area</vt:lpstr>
      <vt:lpstr>'水曜日可燃収集表 (20250709)'!Print_Area</vt:lpstr>
      <vt:lpstr>'水曜日金属（行ってるとこコバ）'!Print_Area</vt:lpstr>
      <vt:lpstr>'水曜日金属収集表 '!Print_Area</vt:lpstr>
      <vt:lpstr>'水曜日金属収集表  (改定)'!Print_Area</vt:lpstr>
      <vt:lpstr>'土曜日物件表 20250624'!Print_Area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mouse-64</dc:creator>
  <cp:lastModifiedBy>伸一85088508 西山</cp:lastModifiedBy>
  <cp:lastPrinted>2026-02-10T07:48:35Z</cp:lastPrinted>
  <dcterms:created xsi:type="dcterms:W3CDTF">2017-03-05T20:38:24Z</dcterms:created>
  <dcterms:modified xsi:type="dcterms:W3CDTF">2026-10-10T13:51:39Z</dcterms:modified>
</cp:coreProperties>
</file>
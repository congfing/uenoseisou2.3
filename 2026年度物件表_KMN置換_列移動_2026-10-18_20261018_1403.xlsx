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nsyuu/Developer/uenoseisou2.3/"/>
    </mc:Choice>
  </mc:AlternateContent>
  <xr:revisionPtr revIDLastSave="0" documentId="13_ncr:1_{2AFB3E53-65FF-0B4C-BDAC-5ABD5C88398F}" xr6:coauthVersionLast="47" xr6:coauthVersionMax="47" xr10:uidLastSave="{00000000-0000-0000-0000-000000000000}"/>
  <bookViews>
    <workbookView xWindow="4520" yWindow="600" windowWidth="33880" windowHeight="23400" xr2:uid="{00000000-000D-0000-FFFF-FFFF00000000}"/>
  </bookViews>
  <sheets>
    <sheet name="2026年度担当者物件表  20260127" sheetId="1" r:id="rId1"/>
    <sheet name="水曜日金属（行ってるとこコバ）" sheetId="2" r:id="rId2"/>
    <sheet name="水曜日金属収集表  (改定)" sheetId="3" r:id="rId3"/>
    <sheet name="水曜日金属収集表  (uejii)" sheetId="4" r:id="rId4"/>
    <sheet name="水曜日金属収集表 " sheetId="5" r:id="rId5"/>
    <sheet name="水曜日可燃収集表 (20250709)" sheetId="6" r:id="rId6"/>
    <sheet name="土曜日物件表 20250624" sheetId="7" r:id="rId7"/>
    <sheet name="ガラ集物件（20250709）" sheetId="8" r:id="rId8"/>
    <sheet name="非表示物件" sheetId="9" state="hidden" r:id="rId9"/>
  </sheets>
  <definedNames>
    <definedName name="_xlnm._FilterDatabase" localSheetId="0" hidden="1">'2026年度担当者物件表  20260127'!$A$1:$Z$290</definedName>
    <definedName name="_xlnm.Print_Area" localSheetId="7">'ガラ集物件（20250709）'!$A$1:$D$29</definedName>
    <definedName name="_xlnm.Print_Area" localSheetId="5">'水曜日可燃収集表 (20250709)'!$A$1:$J$34</definedName>
    <definedName name="_xlnm.Print_Area" localSheetId="1">'水曜日金属（行ってるとこコバ）'!$A$1:$O$37</definedName>
    <definedName name="_xlnm.Print_Area" localSheetId="4">'水曜日金属収集表 '!$U$1:$AM$35</definedName>
    <definedName name="_xlnm.Print_Area" localSheetId="2">'水曜日金属収集表  (改定)'!$U$1:$AM$35</definedName>
    <definedName name="_xlnm.Print_Area" localSheetId="6">'土曜日物件表 20250624'!$A$1:$I$27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7" i="5" l="1"/>
  <c r="AL37" i="5"/>
  <c r="AK37" i="5"/>
  <c r="AJ37" i="5"/>
  <c r="AI37" i="5"/>
  <c r="S37" i="5"/>
  <c r="R37" i="5"/>
  <c r="Q37" i="5"/>
  <c r="P37" i="5"/>
  <c r="O37" i="5"/>
  <c r="S35" i="4"/>
  <c r="R35" i="4"/>
  <c r="Q35" i="4"/>
  <c r="P35" i="4"/>
  <c r="O35" i="4"/>
  <c r="AM37" i="3"/>
  <c r="AL37" i="3"/>
  <c r="AK37" i="3"/>
  <c r="AJ37" i="3"/>
  <c r="AI37" i="3"/>
  <c r="S37" i="3"/>
  <c r="R37" i="3"/>
  <c r="Q37" i="3"/>
  <c r="P37" i="3"/>
  <c r="O37" i="3"/>
</calcChain>
</file>

<file path=xl/sharedStrings.xml><?xml version="1.0" encoding="utf-8"?>
<sst xmlns="http://schemas.openxmlformats.org/spreadsheetml/2006/main" count="3763" uniqueCount="781">
  <si>
    <t>地区</t>
  </si>
  <si>
    <t>業種</t>
  </si>
  <si>
    <t>整理番号</t>
  </si>
  <si>
    <t>登録番号</t>
  </si>
  <si>
    <t>契約物件</t>
  </si>
  <si>
    <t>計量</t>
  </si>
  <si>
    <t>電話番号</t>
  </si>
  <si>
    <t>月曜日</t>
  </si>
  <si>
    <t>火曜日</t>
  </si>
  <si>
    <t>水曜日</t>
  </si>
  <si>
    <t>木曜日</t>
  </si>
  <si>
    <t>金曜日</t>
  </si>
  <si>
    <t>土曜日</t>
  </si>
  <si>
    <t>日曜日</t>
  </si>
  <si>
    <t>金属</t>
  </si>
  <si>
    <t>段紙</t>
  </si>
  <si>
    <t>おしめ</t>
  </si>
  <si>
    <t>備考2</t>
  </si>
  <si>
    <t>備考</t>
  </si>
  <si>
    <t>収集時間</t>
  </si>
  <si>
    <t>回収曜日(月）</t>
  </si>
  <si>
    <t>回収曜日(火）</t>
  </si>
  <si>
    <t>回収曜日(水）</t>
  </si>
  <si>
    <t>回収曜日(木）</t>
  </si>
  <si>
    <t>回収曜日(金）</t>
  </si>
  <si>
    <t>回収曜日(土）</t>
  </si>
  <si>
    <t>四十九</t>
  </si>
  <si>
    <t>スポーツ</t>
  </si>
  <si>
    <t>ピアゴルフ</t>
  </si>
  <si>
    <t>24-6678</t>
  </si>
  <si>
    <t>N-1</t>
  </si>
  <si>
    <t>K-</t>
  </si>
  <si>
    <t>㊋</t>
  </si>
  <si>
    <t>㊎</t>
  </si>
  <si>
    <t>車 ガソリン</t>
  </si>
  <si>
    <t>ネッツトヨタ</t>
  </si>
  <si>
    <t>三重トヨペット</t>
  </si>
  <si>
    <t>21-2225</t>
  </si>
  <si>
    <t>飲食　食品</t>
  </si>
  <si>
    <t>Boibom</t>
  </si>
  <si>
    <t>H-1</t>
  </si>
  <si>
    <t>㊊</t>
  </si>
  <si>
    <t>㊍</t>
  </si>
  <si>
    <t>スターバックスコーヒー</t>
  </si>
  <si>
    <t>N-</t>
  </si>
  <si>
    <t>〇</t>
  </si>
  <si>
    <t>㊌</t>
  </si>
  <si>
    <t>㊏</t>
  </si>
  <si>
    <t>イオンタウン可燃</t>
  </si>
  <si>
    <t>26-7888</t>
  </si>
  <si>
    <t>段ボール・PET</t>
  </si>
  <si>
    <t>マックスバリュ可燃</t>
  </si>
  <si>
    <t>22-1555</t>
  </si>
  <si>
    <t>段・PET・アルミ・牛乳</t>
  </si>
  <si>
    <t>イオンタウン段紙</t>
  </si>
  <si>
    <t>マックス段紙</t>
  </si>
  <si>
    <t>マックスPETアルミ紙P</t>
  </si>
  <si>
    <t>PET アルミ</t>
  </si>
  <si>
    <t>マックス発泡</t>
  </si>
  <si>
    <t>発泡</t>
  </si>
  <si>
    <t>WE CARS</t>
  </si>
  <si>
    <t>22-8833</t>
  </si>
  <si>
    <t>会社　商店</t>
  </si>
  <si>
    <t>関東電化ファインテック</t>
  </si>
  <si>
    <t>マンション</t>
  </si>
  <si>
    <t>フォーティーナイン</t>
  </si>
  <si>
    <t>違反ゴミのみ</t>
  </si>
  <si>
    <t>第1第3水曜日</t>
  </si>
  <si>
    <t>介護</t>
  </si>
  <si>
    <t>みんなの家</t>
  </si>
  <si>
    <t>26-4165</t>
  </si>
  <si>
    <t>なごみの家</t>
  </si>
  <si>
    <t>H-2</t>
  </si>
  <si>
    <t>ジャルディーノブリリオ（大和リビング）</t>
  </si>
  <si>
    <t>金属第4水曜日</t>
  </si>
  <si>
    <t>中華料理輝龍</t>
  </si>
  <si>
    <t>卸団地</t>
  </si>
  <si>
    <t>中電配電サポート</t>
  </si>
  <si>
    <t>N-3</t>
  </si>
  <si>
    <t>アイルライン問屋倉庫</t>
  </si>
  <si>
    <t>鎌苅乳販</t>
  </si>
  <si>
    <t>21-1930</t>
  </si>
  <si>
    <t>内金</t>
  </si>
  <si>
    <t>23-5311</t>
  </si>
  <si>
    <t>岩野屋</t>
  </si>
  <si>
    <t>21-0236</t>
  </si>
  <si>
    <t>官公庁</t>
  </si>
  <si>
    <t>旧県民局（伊賀庁舎）</t>
  </si>
  <si>
    <t>24-8000</t>
  </si>
  <si>
    <t>病院　薬</t>
  </si>
  <si>
    <t>フラワー薬局四十九店</t>
  </si>
  <si>
    <t>24-1193</t>
  </si>
  <si>
    <t>H-4</t>
  </si>
  <si>
    <t>太陽作業所 ひらそる</t>
  </si>
  <si>
    <t>コンビニ</t>
  </si>
  <si>
    <t>セブンイレブン四十九店</t>
  </si>
  <si>
    <t>H-3</t>
  </si>
  <si>
    <t>N-4</t>
  </si>
  <si>
    <t>1/31~</t>
  </si>
  <si>
    <t>桑町</t>
  </si>
  <si>
    <t>太陽作業所</t>
  </si>
  <si>
    <t>ファーストウイン</t>
  </si>
  <si>
    <t>21-3286</t>
  </si>
  <si>
    <t>マルベリーハイアット1.3</t>
  </si>
  <si>
    <t>第1.3水</t>
  </si>
  <si>
    <t>（株）新和工業社員寮</t>
  </si>
  <si>
    <t>H-</t>
  </si>
  <si>
    <t>N-12</t>
  </si>
  <si>
    <t>6月8日～</t>
  </si>
  <si>
    <t>可燃のみ</t>
  </si>
  <si>
    <t>銀座通り</t>
  </si>
  <si>
    <t>買い物</t>
  </si>
  <si>
    <t>クスリのアオキ伊賀上野店</t>
  </si>
  <si>
    <t>N-14</t>
  </si>
  <si>
    <t>よい子のお家 ばしょう</t>
  </si>
  <si>
    <t>国土省</t>
  </si>
  <si>
    <t>21-3011</t>
  </si>
  <si>
    <t>ほっともっと桑町店</t>
  </si>
  <si>
    <t>26-3025</t>
  </si>
  <si>
    <t>N-13</t>
  </si>
  <si>
    <t>銀行</t>
  </si>
  <si>
    <t>百五銀行　上野支店</t>
  </si>
  <si>
    <t>23-7105</t>
  </si>
  <si>
    <t>ポットローズ</t>
  </si>
  <si>
    <t>大東建託パートナーズ</t>
  </si>
  <si>
    <t>10/1~</t>
  </si>
  <si>
    <t>堀川石油　銀座店</t>
  </si>
  <si>
    <t>21-4754</t>
  </si>
  <si>
    <t>N-15</t>
  </si>
  <si>
    <t>金属1.3</t>
  </si>
  <si>
    <t>ヘアカット</t>
  </si>
  <si>
    <t>NEVY</t>
  </si>
  <si>
    <t>伊賀肉やまもと</t>
  </si>
  <si>
    <t>N-16</t>
  </si>
  <si>
    <t>立正佼成会</t>
  </si>
  <si>
    <t>ジェンティーレイガウエノ</t>
  </si>
  <si>
    <t>中川歯科</t>
  </si>
  <si>
    <t>セブンイレブン伊賀忍者駅南店</t>
  </si>
  <si>
    <t>N-17</t>
  </si>
  <si>
    <t>花市場</t>
  </si>
  <si>
    <t>武田歯科</t>
  </si>
  <si>
    <t>九庵</t>
  </si>
  <si>
    <t>21-5859</t>
  </si>
  <si>
    <t>N-20</t>
  </si>
  <si>
    <t>9時半～</t>
  </si>
  <si>
    <t>万川集海忍者体験施設</t>
  </si>
  <si>
    <t>フラット立石（銀座）</t>
  </si>
  <si>
    <t>N-21</t>
  </si>
  <si>
    <t>旧上野庁舎　SAKAKURABASE</t>
  </si>
  <si>
    <t>近畿不動産</t>
  </si>
  <si>
    <t>48-7779</t>
  </si>
  <si>
    <t>第３週は金曜日</t>
  </si>
  <si>
    <t>新聞</t>
  </si>
  <si>
    <t>読売新聞　上野支局</t>
  </si>
  <si>
    <t>21-5143</t>
  </si>
  <si>
    <t>12時～</t>
  </si>
  <si>
    <t>リエート</t>
  </si>
  <si>
    <t>N-19</t>
  </si>
  <si>
    <t>JEWRL</t>
  </si>
  <si>
    <t>N-18</t>
  </si>
  <si>
    <t>森田クリニック</t>
  </si>
  <si>
    <t>22-2233</t>
  </si>
  <si>
    <t>金属1</t>
  </si>
  <si>
    <t>エスペランサ薬局</t>
  </si>
  <si>
    <t>24-5660</t>
  </si>
  <si>
    <t>清水眼科</t>
  </si>
  <si>
    <t>23-0718</t>
  </si>
  <si>
    <t>丸ノ内</t>
  </si>
  <si>
    <t>GEO　ゲオ</t>
  </si>
  <si>
    <t>26-7601</t>
  </si>
  <si>
    <t>滋賀銀行</t>
  </si>
  <si>
    <t>21-3326</t>
  </si>
  <si>
    <t>検察庁</t>
  </si>
  <si>
    <t>21-0492</t>
  </si>
  <si>
    <t>裁判所</t>
  </si>
  <si>
    <t>21-0002</t>
  </si>
  <si>
    <t>ハイトメゾン丸之内</t>
  </si>
  <si>
    <t>魚民</t>
  </si>
  <si>
    <t>24-1788</t>
  </si>
  <si>
    <t>N-22</t>
  </si>
  <si>
    <t>石田サイクルビル</t>
  </si>
  <si>
    <t>あすなろ薬局</t>
  </si>
  <si>
    <t>24-9393</t>
  </si>
  <si>
    <t>午前中</t>
  </si>
  <si>
    <t>医療法人アクアクリニック</t>
  </si>
  <si>
    <t>プラザあかもん</t>
  </si>
  <si>
    <t>個別教室のトライ</t>
  </si>
  <si>
    <t>N-2</t>
  </si>
  <si>
    <t>上野高校</t>
  </si>
  <si>
    <t>21-2550</t>
  </si>
  <si>
    <t>富々</t>
  </si>
  <si>
    <t>備考欄</t>
  </si>
  <si>
    <t>N-5</t>
  </si>
  <si>
    <t>耕田090-6591-7086</t>
  </si>
  <si>
    <t>パン工房　マームベランダ</t>
  </si>
  <si>
    <t>51-6996</t>
  </si>
  <si>
    <t>N-6</t>
  </si>
  <si>
    <t>11/10開始</t>
  </si>
  <si>
    <t>三重ワークサービス</t>
  </si>
  <si>
    <t>21-8037</t>
  </si>
  <si>
    <t>N-7</t>
  </si>
  <si>
    <t>カフェ碧（みどり）</t>
  </si>
  <si>
    <t>24-3001</t>
  </si>
  <si>
    <t>N-8</t>
  </si>
  <si>
    <t>城北</t>
  </si>
  <si>
    <t>服部歯科</t>
  </si>
  <si>
    <t>感染ごみ回収不可</t>
  </si>
  <si>
    <t>ヒロタ薬局</t>
  </si>
  <si>
    <t>48-6700</t>
  </si>
  <si>
    <t>N-10</t>
  </si>
  <si>
    <t>1月8日開始</t>
  </si>
  <si>
    <t>ラム―</t>
  </si>
  <si>
    <t>N-11</t>
  </si>
  <si>
    <t>サンドラッグ</t>
  </si>
  <si>
    <t>K-FORCE</t>
  </si>
  <si>
    <t>ポポロイーナ</t>
  </si>
  <si>
    <t>N-9</t>
  </si>
  <si>
    <t>Bワ-ルド</t>
  </si>
  <si>
    <t>コメリ</t>
  </si>
  <si>
    <t>26-3310</t>
  </si>
  <si>
    <t>西松屋</t>
  </si>
  <si>
    <t>21-1885</t>
  </si>
  <si>
    <t>プロマーケット</t>
  </si>
  <si>
    <t>48-7310</t>
  </si>
  <si>
    <t>はるやま</t>
  </si>
  <si>
    <t>22-1210</t>
  </si>
  <si>
    <t>10時までに</t>
  </si>
  <si>
    <t>ハミング</t>
  </si>
  <si>
    <t>味神館</t>
  </si>
  <si>
    <t>23-5761</t>
  </si>
  <si>
    <t>吉野家</t>
  </si>
  <si>
    <t>26-5782</t>
  </si>
  <si>
    <t>ビッグエコー</t>
  </si>
  <si>
    <t>23-2242</t>
  </si>
  <si>
    <t>ソフトバンク</t>
  </si>
  <si>
    <t>26-1515</t>
  </si>
  <si>
    <t>ナリス化粧品</t>
  </si>
  <si>
    <t>王将</t>
  </si>
  <si>
    <t>24-8863</t>
  </si>
  <si>
    <t>セカンドストリート</t>
  </si>
  <si>
    <t>小田</t>
  </si>
  <si>
    <t>小川整備</t>
  </si>
  <si>
    <t>0120-481-532</t>
  </si>
  <si>
    <t>ライフテクノサービス</t>
  </si>
  <si>
    <t>ブラコウジ</t>
  </si>
  <si>
    <t>あゆみの</t>
  </si>
  <si>
    <t>ハートヒルⅢ</t>
  </si>
  <si>
    <t>創価学会</t>
  </si>
  <si>
    <t>26-7571</t>
  </si>
  <si>
    <t>おりがみ薬局</t>
  </si>
  <si>
    <t>41-0240</t>
  </si>
  <si>
    <t>セイムス伊賀小田店</t>
  </si>
  <si>
    <t>セブンイレブン平野北谷店</t>
  </si>
  <si>
    <t>24-0877</t>
  </si>
  <si>
    <t>ポナール駒</t>
  </si>
  <si>
    <t>積和トータルサポート神谷</t>
  </si>
  <si>
    <t>ハイツホワイトピジョン</t>
  </si>
  <si>
    <t>鳩岡090-6084-3189</t>
  </si>
  <si>
    <t>モンノーブル</t>
  </si>
  <si>
    <t>洋服の青山</t>
  </si>
  <si>
    <t>24-2950</t>
  </si>
  <si>
    <t>Crece クレス</t>
  </si>
  <si>
    <t>26-4066</t>
  </si>
  <si>
    <t>憩の里</t>
  </si>
  <si>
    <t>48-7721</t>
  </si>
  <si>
    <t>特別養護老人ホーム伊賀の街</t>
  </si>
  <si>
    <t>41-1120</t>
  </si>
  <si>
    <t>カットA</t>
  </si>
  <si>
    <t>44-6138</t>
  </si>
  <si>
    <t>N-26</t>
  </si>
  <si>
    <t>堀川石油　小田店</t>
  </si>
  <si>
    <t>24-2690</t>
  </si>
  <si>
    <t>N-25</t>
  </si>
  <si>
    <t>Q's garden</t>
  </si>
  <si>
    <t>白鳳通り</t>
  </si>
  <si>
    <t>すき家</t>
  </si>
  <si>
    <t>N-23</t>
  </si>
  <si>
    <t>N-24</t>
  </si>
  <si>
    <t>0120-498-007</t>
  </si>
  <si>
    <t>フレックスホテル</t>
  </si>
  <si>
    <t>21-3111</t>
  </si>
  <si>
    <t>古本市場</t>
  </si>
  <si>
    <t>21-8630</t>
  </si>
  <si>
    <t>耕田ハイツ</t>
  </si>
  <si>
    <t>リオ．エクセレント</t>
  </si>
  <si>
    <t>杉本商事</t>
  </si>
  <si>
    <t>21-7611</t>
  </si>
  <si>
    <t>トヨタレンタリース</t>
  </si>
  <si>
    <t>23-0100</t>
  </si>
  <si>
    <t>ビークイック　ジム</t>
  </si>
  <si>
    <t>N-27</t>
  </si>
  <si>
    <t>JA伊賀</t>
  </si>
  <si>
    <t>24-5111</t>
  </si>
  <si>
    <t>JAひぞっこ</t>
  </si>
  <si>
    <t>21-0831</t>
  </si>
  <si>
    <t>可燃昼から</t>
  </si>
  <si>
    <t>ソレイユ白鳳店</t>
  </si>
  <si>
    <t>24-8888</t>
  </si>
  <si>
    <t>N-28</t>
  </si>
  <si>
    <t>シャーメゾンステージ平野西町</t>
  </si>
  <si>
    <t>N-29</t>
  </si>
  <si>
    <t>M‐CROSS西町</t>
  </si>
  <si>
    <t>N-30</t>
  </si>
  <si>
    <t>森辻亭</t>
  </si>
  <si>
    <t>23-5677</t>
  </si>
  <si>
    <t>D-SQUARE 平野西町 ディースクエア</t>
  </si>
  <si>
    <t>D-SQUARE 平野樋之口 ディースクエア</t>
  </si>
  <si>
    <t>Bell Harmonie　ベルアルモニー</t>
  </si>
  <si>
    <t>大和ビルディング</t>
  </si>
  <si>
    <t>喜々</t>
  </si>
  <si>
    <t>ほっともっと白鳳店</t>
  </si>
  <si>
    <t>26-3515</t>
  </si>
  <si>
    <t>N-31</t>
  </si>
  <si>
    <t>森田院長宅</t>
  </si>
  <si>
    <t>N-37</t>
  </si>
  <si>
    <t>RAIVE レイヴ</t>
  </si>
  <si>
    <t>41-1828</t>
  </si>
  <si>
    <t>N-38</t>
  </si>
  <si>
    <t>PACHA!　 パチャ</t>
  </si>
  <si>
    <t>N-36</t>
  </si>
  <si>
    <t>セブンイレブン伊賀平野東町店</t>
  </si>
  <si>
    <t>N-32</t>
  </si>
  <si>
    <t>N-33</t>
  </si>
  <si>
    <t>M‐CROSS</t>
  </si>
  <si>
    <t>N-39</t>
  </si>
  <si>
    <t>Mast Terrace マストテラス平野東町</t>
  </si>
  <si>
    <t>059-213-5080</t>
  </si>
  <si>
    <t>N-34</t>
  </si>
  <si>
    <t>D-SQUARE 平野東町 ディースクエア</t>
  </si>
  <si>
    <t>N-35</t>
  </si>
  <si>
    <t>おはよう薬局</t>
  </si>
  <si>
    <t>24-0931</t>
  </si>
  <si>
    <t>Mast Terrace マストテラス服部町</t>
  </si>
  <si>
    <t>N-40</t>
  </si>
  <si>
    <t>法務局</t>
  </si>
  <si>
    <t>21-0804</t>
  </si>
  <si>
    <t>リヴィエール上野</t>
  </si>
  <si>
    <t>クスリのアオキ平野東店</t>
  </si>
  <si>
    <t>41-2250</t>
  </si>
  <si>
    <t>中瀬</t>
  </si>
  <si>
    <t>堀川石油　中瀬</t>
  </si>
  <si>
    <t>24-4040</t>
  </si>
  <si>
    <t>N-41</t>
  </si>
  <si>
    <t>一光　中瀬</t>
  </si>
  <si>
    <t>23-9925</t>
  </si>
  <si>
    <t>N-42</t>
  </si>
  <si>
    <t>コカ・コーラ</t>
  </si>
  <si>
    <t>23-1828</t>
  </si>
  <si>
    <t>袋数事務所で記入</t>
  </si>
  <si>
    <t>府中</t>
  </si>
  <si>
    <t>岡山邸</t>
  </si>
  <si>
    <t>小川モータース</t>
  </si>
  <si>
    <t>フラット立石</t>
  </si>
  <si>
    <t>63-5430</t>
  </si>
  <si>
    <t>N-43</t>
  </si>
  <si>
    <t>フラワー薬局土橋</t>
  </si>
  <si>
    <t>21-3993</t>
  </si>
  <si>
    <t>吉村クリニック</t>
  </si>
  <si>
    <t>22-2121</t>
  </si>
  <si>
    <t>三重ダイハツ</t>
  </si>
  <si>
    <t>24-0757</t>
  </si>
  <si>
    <t>ニューセビロード</t>
  </si>
  <si>
    <t>N-45</t>
  </si>
  <si>
    <t>あみやき亭</t>
  </si>
  <si>
    <t>26-4129</t>
  </si>
  <si>
    <t>N-44</t>
  </si>
  <si>
    <t>セイムス</t>
  </si>
  <si>
    <t>22-8611</t>
  </si>
  <si>
    <t>パインケープ</t>
  </si>
  <si>
    <t>N-46</t>
  </si>
  <si>
    <t>佐那具</t>
  </si>
  <si>
    <t>ヤマホ</t>
  </si>
  <si>
    <t>23-4300</t>
  </si>
  <si>
    <t>N-48</t>
  </si>
  <si>
    <t>JAいがふるさと 上野東支店</t>
  </si>
  <si>
    <t>いがっこ佐那具給食センター</t>
  </si>
  <si>
    <t>N-47</t>
  </si>
  <si>
    <t>セブンイレブン伊賀東条店</t>
  </si>
  <si>
    <t>N-49</t>
  </si>
  <si>
    <t>△</t>
  </si>
  <si>
    <t>廣嶋建材株式会社</t>
  </si>
  <si>
    <t>21-3936</t>
  </si>
  <si>
    <t>N-50</t>
  </si>
  <si>
    <t>１時～３時</t>
  </si>
  <si>
    <t>上野チキン</t>
  </si>
  <si>
    <t>23-6801</t>
  </si>
  <si>
    <t>フレコン持ち帰り</t>
  </si>
  <si>
    <t>ウインディア　パーク</t>
  </si>
  <si>
    <t>N-51</t>
  </si>
  <si>
    <t>金丸脳脊椎外科クリニック</t>
  </si>
  <si>
    <t>41-1192</t>
  </si>
  <si>
    <t>ラクティーアーバンビレッｼﾞ</t>
  </si>
  <si>
    <t>（株）イガコー</t>
  </si>
  <si>
    <t>読売新聞　上野北</t>
  </si>
  <si>
    <t>24-9394</t>
  </si>
  <si>
    <t>1時以降</t>
  </si>
  <si>
    <t>グループホーム　あぽろん</t>
  </si>
  <si>
    <t>N-52</t>
  </si>
  <si>
    <t>ネオ　ハイツ　ロコ</t>
  </si>
  <si>
    <t>N-53</t>
  </si>
  <si>
    <t>甲賀高分子</t>
  </si>
  <si>
    <t>22-0701</t>
  </si>
  <si>
    <t>N-54</t>
  </si>
  <si>
    <t>萩原工業</t>
  </si>
  <si>
    <t>26-3801</t>
  </si>
  <si>
    <t>RAJA</t>
  </si>
  <si>
    <t>45-7003</t>
  </si>
  <si>
    <t>新和工業 佐那具事業所</t>
  </si>
  <si>
    <t>N-56</t>
  </si>
  <si>
    <t>南出産業</t>
  </si>
  <si>
    <t>45-5647</t>
  </si>
  <si>
    <t>マックスバリュー佐那具</t>
  </si>
  <si>
    <t>23-8681</t>
  </si>
  <si>
    <t>N-55</t>
  </si>
  <si>
    <t>東名ロードメンテナンス(有)上野出張所</t>
  </si>
  <si>
    <t>(株）Tosama</t>
  </si>
  <si>
    <t>農業屋</t>
  </si>
  <si>
    <t>45-7510</t>
  </si>
  <si>
    <t>BOOKMARK STORAGE (新堂駅）</t>
  </si>
  <si>
    <t>アーバン松井</t>
  </si>
  <si>
    <t>伊賀町</t>
  </si>
  <si>
    <t>フラット立石（新堂）</t>
  </si>
  <si>
    <t>フラット立石（柘植）</t>
  </si>
  <si>
    <t>瑞祥園</t>
  </si>
  <si>
    <t>個人</t>
  </si>
  <si>
    <t>清水宅</t>
  </si>
  <si>
    <t>厚板プレス工業</t>
  </si>
  <si>
    <t>45-3151</t>
  </si>
  <si>
    <t>旅籠屋</t>
  </si>
  <si>
    <t>45-6858</t>
  </si>
  <si>
    <t>フラワー薬局 柘植店</t>
  </si>
  <si>
    <t>45-1193</t>
  </si>
  <si>
    <t>上野上柘植トラックセンター</t>
  </si>
  <si>
    <t>45-8877</t>
  </si>
  <si>
    <t>伊賀神戸</t>
  </si>
  <si>
    <t>伊賀ゴルフ</t>
  </si>
  <si>
    <t>63-1275　</t>
  </si>
  <si>
    <t>M-</t>
  </si>
  <si>
    <t>伊賀神戸駅</t>
  </si>
  <si>
    <t>38-1304　</t>
  </si>
  <si>
    <t>木治歯科</t>
  </si>
  <si>
    <t>36-1255　</t>
  </si>
  <si>
    <t>ニチイケアサービス</t>
  </si>
  <si>
    <t>36-9726</t>
  </si>
  <si>
    <t>橋本精機</t>
  </si>
  <si>
    <t>38-1944</t>
  </si>
  <si>
    <t>ジェーワン</t>
  </si>
  <si>
    <t>38-1538</t>
  </si>
  <si>
    <t>久米</t>
  </si>
  <si>
    <t>プレイヤード作業所</t>
  </si>
  <si>
    <t>上ノ庄</t>
  </si>
  <si>
    <t>ナフコ伊賀店</t>
  </si>
  <si>
    <t>26-1731</t>
  </si>
  <si>
    <t>岡波病院</t>
  </si>
  <si>
    <t>21-3135</t>
  </si>
  <si>
    <t>玉森マンション</t>
  </si>
  <si>
    <t>　　　</t>
  </si>
  <si>
    <t>堀川石油　ニューセルフ</t>
  </si>
  <si>
    <t>21-7033</t>
  </si>
  <si>
    <t>ダイカ</t>
  </si>
  <si>
    <t>24-2071</t>
  </si>
  <si>
    <t>東研サーモテック</t>
  </si>
  <si>
    <t>63-5321</t>
  </si>
  <si>
    <t>安場</t>
  </si>
  <si>
    <t>グループホームあんだんて</t>
  </si>
  <si>
    <t>39-1900　</t>
  </si>
  <si>
    <t>白樫</t>
  </si>
  <si>
    <t>福田工業㈱</t>
  </si>
  <si>
    <t>ノアーズアーク</t>
  </si>
  <si>
    <t>65-9898</t>
  </si>
  <si>
    <t>大栄中村</t>
  </si>
  <si>
    <t>ク ラ コ</t>
  </si>
  <si>
    <t>24-3221</t>
  </si>
  <si>
    <t>飯田金属工業</t>
  </si>
  <si>
    <t>24-5050</t>
  </si>
  <si>
    <t>遊士屋</t>
  </si>
  <si>
    <t xml:space="preserve">白樫 </t>
  </si>
  <si>
    <t>やさいの戸島屋</t>
  </si>
  <si>
    <t>大村紙業</t>
  </si>
  <si>
    <t>20-1326</t>
  </si>
  <si>
    <t>スミロン</t>
  </si>
  <si>
    <t>ミナルコ</t>
  </si>
  <si>
    <t>20-1201</t>
  </si>
  <si>
    <t>チョーヤ梅酒</t>
  </si>
  <si>
    <t>20-2255</t>
  </si>
  <si>
    <t>ヤシマナダ三重工場</t>
  </si>
  <si>
    <t>20-1155</t>
  </si>
  <si>
    <t>大阪バネ工業</t>
  </si>
  <si>
    <t>治田</t>
  </si>
  <si>
    <t>一光　治田</t>
  </si>
  <si>
    <t>20-1196</t>
  </si>
  <si>
    <t>　</t>
  </si>
  <si>
    <t>福田工業 治田工場</t>
  </si>
  <si>
    <t>瀬戸川原花苑</t>
  </si>
  <si>
    <t>20-9777</t>
  </si>
  <si>
    <t>大同工業</t>
  </si>
  <si>
    <t>20-1818</t>
  </si>
  <si>
    <t>錦城ゴム</t>
  </si>
  <si>
    <t>20-1857</t>
  </si>
  <si>
    <t>梨の木園</t>
  </si>
  <si>
    <t>島ヶ原</t>
  </si>
  <si>
    <t>豊正</t>
  </si>
  <si>
    <t>24-2712</t>
  </si>
  <si>
    <t>郵便局</t>
  </si>
  <si>
    <t>岩倉郵便局</t>
  </si>
  <si>
    <t>21-4296</t>
  </si>
  <si>
    <t>ふる里</t>
  </si>
  <si>
    <t>21-4498</t>
  </si>
  <si>
    <t>島ヶ原ゴルフ</t>
  </si>
  <si>
    <t>59-3111</t>
  </si>
  <si>
    <t>島ヶ原郵便局</t>
  </si>
  <si>
    <t>59-2500</t>
  </si>
  <si>
    <t>フラワー薬局　島ヶ原</t>
  </si>
  <si>
    <t>59-9311</t>
  </si>
  <si>
    <t>OKキャンプ</t>
  </si>
  <si>
    <t>59-2079</t>
  </si>
  <si>
    <t>夏休み中月金</t>
  </si>
  <si>
    <t>3月～11月</t>
  </si>
  <si>
    <t>やぶっちゃらんど</t>
  </si>
  <si>
    <t>59-3939</t>
  </si>
  <si>
    <t>株式会社　MCS</t>
  </si>
  <si>
    <t>金属PETを一緒に運ぶ</t>
  </si>
  <si>
    <t>三田</t>
  </si>
  <si>
    <t>虹の家</t>
  </si>
  <si>
    <t>26-6555</t>
  </si>
  <si>
    <t>奥中　ブリーダー</t>
  </si>
  <si>
    <t>080-5162-6148</t>
  </si>
  <si>
    <t>リアルプロダクト</t>
  </si>
  <si>
    <t>24-5471</t>
  </si>
  <si>
    <t>中日三重サービス</t>
  </si>
  <si>
    <t>三田マンション</t>
  </si>
  <si>
    <t>エスペランザ</t>
  </si>
  <si>
    <t>26-2625</t>
  </si>
  <si>
    <t>ドリームハイツ</t>
  </si>
  <si>
    <t>桂ハイツ</t>
  </si>
  <si>
    <t>ナカテック</t>
  </si>
  <si>
    <t>26-7212</t>
  </si>
  <si>
    <t>メディﾂク</t>
  </si>
  <si>
    <t>23-9436</t>
  </si>
  <si>
    <t>車坂</t>
  </si>
  <si>
    <t>谷本整形</t>
  </si>
  <si>
    <t>21-0934</t>
  </si>
  <si>
    <t>森辻本店</t>
  </si>
  <si>
    <t>21-0505</t>
  </si>
  <si>
    <t>緑ヶ丘</t>
  </si>
  <si>
    <t>サックスデザイン</t>
  </si>
  <si>
    <t>パナソニックテクニカル</t>
  </si>
  <si>
    <t>23-1214</t>
  </si>
  <si>
    <t>ハイツミヤタ</t>
  </si>
  <si>
    <t>セブンイレブン緑ヶ丘東町店</t>
  </si>
  <si>
    <t>24-8677</t>
  </si>
  <si>
    <t>5/31~</t>
  </si>
  <si>
    <t>上野税務署</t>
  </si>
  <si>
    <t>セブンイレブン緑ヶ丘本町店</t>
  </si>
  <si>
    <t>24-5113</t>
  </si>
  <si>
    <t>7/28~</t>
  </si>
  <si>
    <t>川口アパート</t>
  </si>
  <si>
    <t>エビスマンション</t>
  </si>
  <si>
    <t>21-0832</t>
  </si>
  <si>
    <t>エビスコーポ</t>
  </si>
  <si>
    <t>エバーグリーン</t>
  </si>
  <si>
    <t>クラリティ雅</t>
  </si>
  <si>
    <t>SHOICHI</t>
  </si>
  <si>
    <t>吉岡税理</t>
  </si>
  <si>
    <t>21-1747</t>
  </si>
  <si>
    <t>michi</t>
  </si>
  <si>
    <t>ソレイユ緑ヶ丘店</t>
  </si>
  <si>
    <t>21-3754</t>
  </si>
  <si>
    <t>グリーンヒル福山</t>
  </si>
  <si>
    <t>メゾンベルト桑原工業（株）</t>
  </si>
  <si>
    <t>1.3水曜日</t>
  </si>
  <si>
    <t>いえちか　どっとこむ</t>
  </si>
  <si>
    <t>百五銀行　緑が丘支店</t>
  </si>
  <si>
    <t>24-4105</t>
  </si>
  <si>
    <t>朝日パンション</t>
  </si>
  <si>
    <t>不燃 第2第4</t>
  </si>
  <si>
    <t>太平荘</t>
  </si>
  <si>
    <t>安永　本社</t>
  </si>
  <si>
    <t>24-2111</t>
  </si>
  <si>
    <t>安永　社員寮</t>
  </si>
  <si>
    <t>可燃のみ収集</t>
  </si>
  <si>
    <t>安永　西明寺</t>
  </si>
  <si>
    <t>24-2155</t>
  </si>
  <si>
    <t>安永　運輸</t>
  </si>
  <si>
    <t>21-2913</t>
  </si>
  <si>
    <t>安永　キャスティング</t>
  </si>
  <si>
    <t>ソーシャルインクルー株式会社　SIH伊賀西明寺</t>
  </si>
  <si>
    <t>ロジスネクスト中部株式会社</t>
  </si>
  <si>
    <t>24-6464</t>
  </si>
  <si>
    <t>旧ニチユ</t>
  </si>
  <si>
    <t>富士産業株式会社</t>
  </si>
  <si>
    <t>26-1300</t>
  </si>
  <si>
    <t>フィオーレA.B</t>
  </si>
  <si>
    <t>サンピア</t>
  </si>
  <si>
    <t>24-7000</t>
  </si>
  <si>
    <t>よい子のお家伊賀</t>
  </si>
  <si>
    <t>48-7771</t>
  </si>
  <si>
    <t>090-6802-4355宇佐美</t>
  </si>
  <si>
    <t>1時～</t>
  </si>
  <si>
    <t>Heathpool</t>
  </si>
  <si>
    <t>51-4677</t>
  </si>
  <si>
    <t>松本貢次郎</t>
  </si>
  <si>
    <t>白鳳高校</t>
  </si>
  <si>
    <t>21-2110</t>
  </si>
  <si>
    <t>金属1.3.5</t>
  </si>
  <si>
    <t>城陽ネジ</t>
  </si>
  <si>
    <t>23-1351</t>
  </si>
  <si>
    <t>ラグランジュⅠ.Ⅱ</t>
  </si>
  <si>
    <t>吉川　コーポプレジール</t>
  </si>
  <si>
    <t>24-3766</t>
  </si>
  <si>
    <t>吉川　コンフォート上野</t>
  </si>
  <si>
    <t>吉川　ロジュメントAB</t>
  </si>
  <si>
    <t>幸福ハイツ</t>
  </si>
  <si>
    <t>21-1160</t>
  </si>
  <si>
    <t>雅九</t>
  </si>
  <si>
    <t>旧農業高校</t>
  </si>
  <si>
    <t>24-0123</t>
  </si>
  <si>
    <t>森辻牛舎</t>
  </si>
  <si>
    <t>夢が丘</t>
  </si>
  <si>
    <t>前田商店</t>
  </si>
  <si>
    <t>23-0168</t>
  </si>
  <si>
    <t>安永　夢が丘</t>
  </si>
  <si>
    <t>読売新聞　上野中央</t>
  </si>
  <si>
    <t>24-1638</t>
  </si>
  <si>
    <t>富士フィルムイノベーションジャパン</t>
  </si>
  <si>
    <t>夢が丘薬局</t>
  </si>
  <si>
    <t>41-0787</t>
  </si>
  <si>
    <t>月昼、木朝一</t>
  </si>
  <si>
    <t>公共施設</t>
  </si>
  <si>
    <t>夢ドーム 日本環境マネージメント</t>
  </si>
  <si>
    <t>22-0590</t>
  </si>
  <si>
    <t>第２,4木曜</t>
  </si>
  <si>
    <t>依那古</t>
  </si>
  <si>
    <t>いなこ保険薬局</t>
  </si>
  <si>
    <t>38-8555</t>
  </si>
  <si>
    <t>2時過ぎ</t>
  </si>
  <si>
    <t>水曜日金属収集表</t>
  </si>
  <si>
    <t>イオンタウン</t>
  </si>
  <si>
    <t>白鳳通</t>
  </si>
  <si>
    <t>マックスバリュ</t>
  </si>
  <si>
    <t>マルベリ</t>
  </si>
  <si>
    <t>セブン四十九</t>
  </si>
  <si>
    <t>パーティーハウス</t>
  </si>
  <si>
    <t>鎌苅乳業</t>
  </si>
  <si>
    <t>JA</t>
  </si>
  <si>
    <t>セブン夢ヶ丘</t>
  </si>
  <si>
    <t>嬉々</t>
  </si>
  <si>
    <t>安永西明寺</t>
  </si>
  <si>
    <t>セブン平野東町</t>
  </si>
  <si>
    <t>コンフォート</t>
  </si>
  <si>
    <t>堀川石油中瀬</t>
  </si>
  <si>
    <t>一光中瀬</t>
  </si>
  <si>
    <t>安永本社</t>
  </si>
  <si>
    <t>いえちか</t>
  </si>
  <si>
    <t>東条</t>
  </si>
  <si>
    <t>いがっこ給食</t>
  </si>
  <si>
    <t>グリーンヒル</t>
  </si>
  <si>
    <t>セブン東条</t>
  </si>
  <si>
    <t>セブン東町</t>
  </si>
  <si>
    <t>ウィンディアパーク</t>
  </si>
  <si>
    <t>セブン本町</t>
  </si>
  <si>
    <t>マックス佐那具</t>
  </si>
  <si>
    <t>えびすコーポ</t>
  </si>
  <si>
    <t>柘植</t>
  </si>
  <si>
    <t>フラット立石　</t>
  </si>
  <si>
    <t>銀座通</t>
  </si>
  <si>
    <t>堀川石油銀座</t>
  </si>
  <si>
    <t>セブン忍者</t>
  </si>
  <si>
    <t>メディック</t>
  </si>
  <si>
    <t>ホワイトピジョン</t>
  </si>
  <si>
    <t>ビックエコー</t>
  </si>
  <si>
    <t>OKキャンプ※3月～11月</t>
  </si>
  <si>
    <t>MCS</t>
  </si>
  <si>
    <t>セブン平野北谷</t>
  </si>
  <si>
    <t>一光治田</t>
  </si>
  <si>
    <t>堀川石油小田</t>
  </si>
  <si>
    <t>物件</t>
  </si>
  <si>
    <t>１週</t>
  </si>
  <si>
    <t>２週</t>
  </si>
  <si>
    <t>３週</t>
  </si>
  <si>
    <t>４週</t>
  </si>
  <si>
    <t>５週</t>
  </si>
  <si>
    <t>伊賀ゴルフ　</t>
  </si>
  <si>
    <t>ビッグボーイ　</t>
  </si>
  <si>
    <t>ｋｇ</t>
  </si>
  <si>
    <t>伊賀神戸駅　</t>
  </si>
  <si>
    <t>袋</t>
  </si>
  <si>
    <t>堀川石油ニューセルフ</t>
  </si>
  <si>
    <t>法務局　</t>
  </si>
  <si>
    <t>モン　ノーブル</t>
  </si>
  <si>
    <t>くすりのアオキ</t>
  </si>
  <si>
    <t>イオンタウン　　</t>
  </si>
  <si>
    <t>ラムー</t>
  </si>
  <si>
    <t>マックスバリュ　</t>
  </si>
  <si>
    <t>コメリ書房</t>
  </si>
  <si>
    <t>ジャルディーノブリリオ</t>
  </si>
  <si>
    <t>OKキャンプ  3~11月</t>
  </si>
  <si>
    <t>トマト＆オニオン</t>
  </si>
  <si>
    <t>ウインディアパーク</t>
  </si>
  <si>
    <t>MCR</t>
  </si>
  <si>
    <t>サンピア　</t>
  </si>
  <si>
    <t>ネオハイツ　ロコ</t>
  </si>
  <si>
    <t>マックス　佐那具店　</t>
  </si>
  <si>
    <t>オークワ　緑が丘店</t>
  </si>
  <si>
    <t>プラザ　あかもん</t>
  </si>
  <si>
    <t>片山チェン</t>
  </si>
  <si>
    <t>古本市場　</t>
  </si>
  <si>
    <t>すき家　</t>
  </si>
  <si>
    <t>リオ　エクセレント</t>
  </si>
  <si>
    <t>計</t>
  </si>
  <si>
    <t>各セブンイレブン</t>
  </si>
  <si>
    <t>セイムス伊賀上野店</t>
  </si>
  <si>
    <t>梨ノ木苑※オムツ13：30</t>
  </si>
  <si>
    <t>ビッグモーター</t>
  </si>
  <si>
    <t>あみやき亭　</t>
  </si>
  <si>
    <t>kg</t>
  </si>
  <si>
    <t>ク ラ コ　</t>
  </si>
  <si>
    <t>伊賀の街　</t>
  </si>
  <si>
    <t>ナフコ　</t>
  </si>
  <si>
    <t>国土交通省</t>
  </si>
  <si>
    <t>安永夢が丘</t>
  </si>
  <si>
    <t>ほっともっと桑町店　</t>
  </si>
  <si>
    <t>富士フィルム</t>
  </si>
  <si>
    <t>ビッグエコー　</t>
  </si>
  <si>
    <t>安永運輸</t>
  </si>
  <si>
    <t>魚民　</t>
  </si>
  <si>
    <t>NAVY</t>
  </si>
  <si>
    <t>西松屋　</t>
  </si>
  <si>
    <t>安永キャスティング</t>
  </si>
  <si>
    <t>中川歯科※9：30</t>
  </si>
  <si>
    <t>安永本社　2か所</t>
  </si>
  <si>
    <t>忍者体験施設</t>
  </si>
  <si>
    <t>コメリ　</t>
  </si>
  <si>
    <t>セブンイレブン忍者駅南店</t>
  </si>
  <si>
    <t>SAKAKURA</t>
  </si>
  <si>
    <t>あかもんプラザ</t>
  </si>
  <si>
    <t>いがっこ給食センター</t>
  </si>
  <si>
    <t>個別教室のトライ  火金</t>
  </si>
  <si>
    <t>マックスバリュー佐那具店　</t>
  </si>
  <si>
    <t>厚板プレス工業　</t>
  </si>
  <si>
    <t>auショップ伊賀上野</t>
  </si>
  <si>
    <t>ブックマークステージ</t>
  </si>
  <si>
    <t>JAひぞっこ　</t>
  </si>
  <si>
    <t>フラワー薬局柘植店</t>
  </si>
  <si>
    <t>上柘植トラックセンター</t>
  </si>
  <si>
    <t>メゾンベルト</t>
  </si>
  <si>
    <t>※第３週目のみ</t>
  </si>
  <si>
    <t>安永社員寮　1か所</t>
  </si>
  <si>
    <t>ほっともっと白鳳店　</t>
  </si>
  <si>
    <t xml:space="preserve">セブンイレブン伊賀平野東町店 </t>
  </si>
  <si>
    <t>処理場へ（許可ゴミ）</t>
  </si>
  <si>
    <t>コカ・コーラ　袋　事務所で記入</t>
  </si>
  <si>
    <t>土曜日可燃収集表</t>
  </si>
  <si>
    <t>読売新聞上野中央 ゆめが丘</t>
  </si>
  <si>
    <t>マックスバリュ　可燃　</t>
  </si>
  <si>
    <t>イオンタウン　　可燃</t>
  </si>
  <si>
    <t>マックスバリュ佐那具店</t>
  </si>
  <si>
    <t>読売新聞上野北</t>
  </si>
  <si>
    <t xml:space="preserve">すき家 </t>
  </si>
  <si>
    <t>セブンイレブン伊賀忍者南店</t>
  </si>
  <si>
    <t>ナフコ</t>
  </si>
  <si>
    <t>平野</t>
  </si>
  <si>
    <t>※生ごみ終わってから行く↓</t>
  </si>
  <si>
    <t>マックスバリュ　PETアルミ紙P</t>
  </si>
  <si>
    <t>マックス　段ボール運搬</t>
  </si>
  <si>
    <t>イオンタウン　段ボール運搬　</t>
  </si>
  <si>
    <t>神戸駅</t>
  </si>
  <si>
    <t>マックスバリュー※蛍光灯回収不可</t>
  </si>
  <si>
    <t>安永　本社※蛍光灯回収不可</t>
  </si>
  <si>
    <t>安永　西明寺※蛍光灯回収不可</t>
  </si>
  <si>
    <t>安永　キャスティング※蛍光灯回収不可</t>
  </si>
  <si>
    <t>エスペランサ</t>
  </si>
  <si>
    <t>マックスバリュー　佐那具店</t>
  </si>
  <si>
    <t>ＯＫキャンプ※3月～11月</t>
  </si>
  <si>
    <t>島ケ原ゴルフ</t>
  </si>
  <si>
    <t>元シート</t>
  </si>
  <si>
    <t>元の整理番号</t>
  </si>
  <si>
    <t>元の位置</t>
  </si>
  <si>
    <t>セブンイレブンゆめが丘北口店</t>
  </si>
  <si>
    <t>3/16~</t>
  </si>
  <si>
    <t>2026年度担当者物件表  20260127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</si>
</sst>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&quot;"/>
  </numFmts>
  <fonts count="2">
    <font>
      <sz val="12"/>
      <color theme="1"/>
      <name val="ÃÂÃÂ¦ÃÂÃÂ¸ÃÂÃÂ¸ÃÂÃÂ"/>
      <family val="2"/>
      <scheme val="minor"/>
    </font>
    <font>
      <sz val="6"/>
      <name val="ÃÂÃÂ¦ÃÂÃÂ¸ÃÂÃÂ¸ÃÂÃÂ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4"/>
  <sheetViews>
    <sheetView tabSelected="1" zoomScale="131" zoomScaleNormal="131" workbookViewId="0">
      <pane ySplit="1" topLeftCell="A266" activePane="bottomLeft" state="frozen"/>
      <selection pane="bottomLeft" activeCell="D294" sqref="D294"/>
    </sheetView>
  </sheetViews>
  <sheetFormatPr baseColWidth="10" defaultRowHeight="16"/>
  <cols>
    <col min="1" max="1" width="9.1640625" customWidth="1"/>
    <col min="2" max="2" width="11.5" customWidth="1"/>
    <col min="3" max="3" width="11" customWidth="1"/>
    <col min="4" max="4" width="13" customWidth="1"/>
    <col min="5" max="5" width="23.5" customWidth="1"/>
    <col min="6" max="6" width="8.6640625" customWidth="1"/>
    <col min="7" max="7" width="14" customWidth="1"/>
    <col min="8" max="14" width="9.6640625" customWidth="1"/>
    <col min="15" max="15" width="13.1640625" customWidth="1"/>
    <col min="16" max="17" width="9.1640625" customWidth="1"/>
    <col min="18" max="18" width="20.5" customWidth="1"/>
    <col min="19" max="19" width="19.33203125" customWidth="1"/>
    <col min="20" max="20" width="13.1640625" customWidth="1"/>
    <col min="21" max="21" width="2.83203125" customWidth="1"/>
    <col min="22" max="22" width="17" customWidth="1"/>
    <col min="23" max="24" width="8.6640625" customWidth="1"/>
    <col min="25" max="25" width="11" customWidth="1"/>
    <col min="26" max="26" width="8.6640625" customWidth="1"/>
  </cols>
  <sheetData>
    <row r="1" spans="1:26" ht="22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6" ht="27" customHeight="1">
      <c r="A2" t="s">
        <v>26</v>
      </c>
      <c r="B2" t="s">
        <v>27</v>
      </c>
      <c r="C2">
        <v>1</v>
      </c>
      <c r="D2">
        <v>1</v>
      </c>
      <c r="E2" t="s">
        <v>28</v>
      </c>
      <c r="G2" t="s">
        <v>29</v>
      </c>
      <c r="I2" t="s">
        <v>30</v>
      </c>
      <c r="L2" t="inlineStr">
        <is>
          <t>M-</t>
        </is>
      </c>
    </row>
    <row r="3" spans="1:26" ht="21" customHeight="1">
      <c r="A3" t="s">
        <v>26</v>
      </c>
      <c r="B3" t="s">
        <v>34</v>
      </c>
      <c r="C3">
        <v>2</v>
      </c>
      <c r="D3">
        <v>2</v>
      </c>
      <c r="E3" t="s">
        <v>35</v>
      </c>
      <c r="L3" t="inlineStr">
        <is>
          <t>M-</t>
        </is>
      </c>
      <c r="O3" t="s">
        <v>14</v>
      </c>
      <c r="P3" t="s">
        <v>15</v>
      </c>
    </row>
    <row r="4" spans="1:26" ht="21" customHeight="1">
      <c r="A4" t="s">
        <v>26</v>
      </c>
      <c r="B4" t="s">
        <v>34</v>
      </c>
      <c r="C4">
        <v>3</v>
      </c>
      <c r="D4">
        <v>3</v>
      </c>
      <c r="E4" t="s">
        <v>36</v>
      </c>
      <c r="G4" t="s">
        <v>37</v>
      </c>
      <c r="L4" t="inlineStr">
        <is>
          <t>M-</t>
        </is>
      </c>
      <c r="P4" t="s">
        <v>15</v>
      </c>
    </row>
    <row r="5" spans="1:26" ht="21" customHeight="1">
      <c r="A5" t="s">
        <v>26</v>
      </c>
      <c r="B5" t="s">
        <v>38</v>
      </c>
      <c r="C5">
        <v>4</v>
      </c>
      <c r="D5">
        <v>4</v>
      </c>
      <c r="E5" t="s">
        <v>39</v>
      </c>
      <c r="H5" t="s">
        <v>40</v>
      </c>
      <c r="K5" t="inlineStr">
        <is>
          <t>K-1</t>
        </is>
      </c>
    </row>
    <row r="6" spans="1:26" ht="21" customHeight="1">
      <c r="A6" t="s">
        <v>26</v>
      </c>
      <c r="B6" t="s">
        <v>38</v>
      </c>
      <c r="C6">
        <v>5</v>
      </c>
      <c r="D6">
        <v>5</v>
      </c>
      <c r="E6" t="s">
        <v>43</v>
      </c>
      <c r="H6" t="s">
        <v>31</v>
      </c>
      <c r="I6" t="s">
        <v>31</v>
      </c>
      <c r="J6" t="s">
        <v>44</v>
      </c>
      <c r="K6" t="inlineStr">
        <is>
          <t>K-2</t>
        </is>
      </c>
      <c r="L6" t="inlineStr">
        <is>
          <t>M-</t>
        </is>
      </c>
      <c r="M6" t="s">
        <v>45</v>
      </c>
    </row>
    <row r="7" spans="1:26" ht="21" customHeight="1">
      <c r="A7" t="s">
        <v>26</v>
      </c>
      <c r="B7" t="s">
        <v>38</v>
      </c>
      <c r="C7">
        <v>6</v>
      </c>
      <c r="D7">
        <v>6</v>
      </c>
      <c r="E7" t="s">
        <v>48</v>
      </c>
      <c r="F7" t="s">
        <v>5</v>
      </c>
      <c r="G7" t="s">
        <v>49</v>
      </c>
      <c r="H7" t="s">
        <v>31</v>
      </c>
      <c r="I7" t="s">
        <v>31</v>
      </c>
      <c r="J7" t="s">
        <v>44</v>
      </c>
      <c r="K7" t="inlineStr">
        <is>
          <t>K-3</t>
        </is>
      </c>
      <c r="L7" t="inlineStr">
        <is>
          <t>M-</t>
        </is>
      </c>
      <c r="M7" t="s">
        <v>45</v>
      </c>
      <c r="O7" t="s">
        <v>14</v>
      </c>
      <c r="R7" t="s">
        <v>50</v>
      </c>
    </row>
    <row r="8" spans="1:26" ht="21" customHeight="1">
      <c r="A8" t="s">
        <v>26</v>
      </c>
      <c r="B8" t="s">
        <v>38</v>
      </c>
      <c r="C8">
        <v>7</v>
      </c>
      <c r="D8">
        <v>7</v>
      </c>
      <c r="E8" t="s">
        <v>51</v>
      </c>
      <c r="F8" t="s">
        <v>5</v>
      </c>
      <c r="G8" t="s">
        <v>52</v>
      </c>
      <c r="H8" t="s">
        <v>31</v>
      </c>
      <c r="I8" t="s">
        <v>31</v>
      </c>
      <c r="J8" t="s">
        <v>44</v>
      </c>
      <c r="K8" t="inlineStr">
        <is>
          <t>K-4</t>
        </is>
      </c>
      <c r="L8" t="inlineStr">
        <is>
          <t>M-</t>
        </is>
      </c>
      <c r="M8" t="s">
        <v>45</v>
      </c>
      <c r="O8" t="s">
        <v>14</v>
      </c>
      <c r="R8" t="s">
        <v>53</v>
      </c>
    </row>
    <row r="9" spans="1:26" ht="21" customHeight="1">
      <c r="A9" t="s">
        <v>26</v>
      </c>
      <c r="B9" t="s">
        <v>38</v>
      </c>
      <c r="C9">
        <v>8</v>
      </c>
      <c r="D9">
        <v>8</v>
      </c>
      <c r="E9" t="s">
        <v>54</v>
      </c>
      <c r="F9" t="s">
        <v>5</v>
      </c>
      <c r="H9" t="s">
        <v>15</v>
      </c>
      <c r="J9" t="s">
        <v>15</v>
      </c>
      <c r="L9" t="s">
        <v>15</v>
      </c>
      <c r="M9" t="s">
        <v>15</v>
      </c>
    </row>
    <row r="10" spans="1:26" ht="21" customHeight="1">
      <c r="A10" t="s">
        <v>26</v>
      </c>
      <c r="B10" t="s">
        <v>38</v>
      </c>
      <c r="C10">
        <v>9</v>
      </c>
      <c r="D10">
        <v>9</v>
      </c>
      <c r="E10" t="s">
        <v>55</v>
      </c>
      <c r="F10" t="s">
        <v>5</v>
      </c>
      <c r="H10" t="s">
        <v>15</v>
      </c>
      <c r="J10" t="s">
        <v>15</v>
      </c>
      <c r="L10" t="s">
        <v>15</v>
      </c>
      <c r="M10" t="s">
        <v>15</v>
      </c>
    </row>
    <row r="11" spans="1:26" ht="21" customHeight="1">
      <c r="A11" t="s">
        <v>26</v>
      </c>
      <c r="B11" t="s">
        <v>38</v>
      </c>
      <c r="C11">
        <v>10</v>
      </c>
      <c r="D11">
        <v>10</v>
      </c>
      <c r="E11" t="s">
        <v>56</v>
      </c>
      <c r="F11" t="s">
        <v>5</v>
      </c>
      <c r="H11" t="s">
        <v>57</v>
      </c>
      <c r="J11" t="s">
        <v>57</v>
      </c>
      <c r="L11" t="s">
        <v>57</v>
      </c>
      <c r="M11" t="s">
        <v>57</v>
      </c>
    </row>
    <row r="12" spans="1:26" ht="21" customHeight="1">
      <c r="A12" t="s">
        <v>26</v>
      </c>
      <c r="B12" t="s">
        <v>38</v>
      </c>
      <c r="C12">
        <v>11</v>
      </c>
      <c r="D12">
        <v>11</v>
      </c>
      <c r="E12" t="s">
        <v>58</v>
      </c>
      <c r="F12" t="s">
        <v>5</v>
      </c>
      <c r="H12" t="s">
        <v>59</v>
      </c>
      <c r="J12" t="s">
        <v>59</v>
      </c>
      <c r="L12" t="s">
        <v>59</v>
      </c>
    </row>
    <row r="13" spans="1:26" ht="21" customHeight="1">
      <c r="A13" t="s">
        <v>26</v>
      </c>
      <c r="B13" t="s">
        <v>34</v>
      </c>
      <c r="C13">
        <v>12</v>
      </c>
      <c r="D13">
        <v>12</v>
      </c>
      <c r="E13" t="s">
        <v>60</v>
      </c>
      <c r="G13" t="s">
        <v>61</v>
      </c>
      <c r="H13" t="s">
        <v>31</v>
      </c>
      <c r="I13" t="s">
        <v>31</v>
      </c>
      <c r="J13" t="s">
        <v>44</v>
      </c>
      <c r="K13" t="inlineStr">
        <is>
          <t>K-5</t>
        </is>
      </c>
      <c r="L13" t="inlineStr">
        <is>
          <t>M-</t>
        </is>
      </c>
      <c r="P13" t="s">
        <v>15</v>
      </c>
    </row>
    <row r="14" spans="1:26" ht="21" customHeight="1">
      <c r="A14" t="s">
        <v>26</v>
      </c>
      <c r="B14" t="s">
        <v>62</v>
      </c>
      <c r="C14">
        <v>13</v>
      </c>
      <c r="D14">
        <v>13</v>
      </c>
      <c r="E14" t="s">
        <v>63</v>
      </c>
      <c r="L14" t="inlineStr">
        <is>
          <t>M-</t>
        </is>
      </c>
    </row>
    <row r="15" spans="1:26" ht="21" customHeight="1">
      <c r="A15" t="s">
        <v>26</v>
      </c>
      <c r="B15" t="s">
        <v>64</v>
      </c>
      <c r="C15">
        <v>14</v>
      </c>
      <c r="D15">
        <v>14</v>
      </c>
      <c r="E15" t="s">
        <v>65</v>
      </c>
      <c r="J15" t="s">
        <v>44</v>
      </c>
      <c r="R15" t="s">
        <v>66</v>
      </c>
      <c r="T15" t="s">
        <v>67</v>
      </c>
    </row>
    <row r="16" spans="1:26" ht="21" customHeight="1">
      <c r="A16" t="s">
        <v>26</v>
      </c>
      <c r="B16" t="s">
        <v>68</v>
      </c>
      <c r="C16">
        <v>15</v>
      </c>
      <c r="D16">
        <v>15</v>
      </c>
      <c r="E16" t="s">
        <v>69</v>
      </c>
      <c r="G16" t="s">
        <v>70</v>
      </c>
      <c r="I16" t="s">
        <v>31</v>
      </c>
      <c r="L16" t="inlineStr">
        <is>
          <t>M-</t>
        </is>
      </c>
    </row>
    <row r="17" spans="1:26" ht="21" customHeight="1">
      <c r="A17" t="s">
        <v>26</v>
      </c>
      <c r="B17" t="s">
        <v>68</v>
      </c>
      <c r="C17">
        <v>16</v>
      </c>
      <c r="D17">
        <v>16</v>
      </c>
      <c r="E17" t="s">
        <v>71</v>
      </c>
      <c r="H17" t="s">
        <v>72</v>
      </c>
      <c r="J17" t="s">
        <v>31</v>
      </c>
      <c r="L17" t="inlineStr">
        <is>
          <t>M-</t>
        </is>
      </c>
    </row>
    <row r="18" spans="1:26" ht="21" customHeight="1">
      <c r="A18" t="s">
        <v>26</v>
      </c>
      <c r="B18" t="s">
        <v>64</v>
      </c>
      <c r="C18">
        <v>17</v>
      </c>
      <c r="D18">
        <v>17</v>
      </c>
      <c r="E18" t="s">
        <v>73</v>
      </c>
      <c r="I18" t="s">
        <v>31</v>
      </c>
      <c r="L18" t="inlineStr">
        <is>
          <t>M-</t>
        </is>
      </c>
      <c r="O18" t="s">
        <v>14</v>
      </c>
      <c r="R18" t="s">
        <v>74</v>
      </c>
    </row>
    <row r="19" spans="1:26" ht="21" customHeight="1">
      <c r="A19" t="s">
        <v>26</v>
      </c>
      <c r="B19" t="s">
        <v>38</v>
      </c>
      <c r="C19">
        <v>18</v>
      </c>
      <c r="D19">
        <v>18</v>
      </c>
      <c r="E19" t="s">
        <v>75</v>
      </c>
      <c r="I19" t="s">
        <v>31</v>
      </c>
      <c r="L19" t="inlineStr">
        <is>
          <t>M-</t>
        </is>
      </c>
    </row>
    <row r="20" spans="1:26" ht="21" customHeight="1">
      <c r="A20" t="inlineStr">
        <is>
          <t>四十九</t>
        </is>
      </c>
      <c r="B20" t="inlineStr">
        <is>
          <t>公共施設</t>
        </is>
      </c>
      <c r="C20">
        <v>19</v>
      </c>
      <c r="D20">
        <v>294</v>
      </c>
      <c r="E20" t="inlineStr">
        <is>
          <t>名張育成会 こころのいろ</t>
        </is>
      </c>
      <c r="G20"/>
      <c r="H20"/>
      <c r="I20" t="inlineStr">
        <is>
          <t>K-</t>
        </is>
      </c>
      <c r="J20"/>
      <c r="L20" t="inlineStr">
        <is>
          <t>K-</t>
        </is>
      </c>
    </row>
    <row r="21" spans="1:26" ht="21" customHeight="1">
      <c r="A21" t="s">
        <v>76</v>
      </c>
      <c r="B21" t="s">
        <v>62</v>
      </c>
      <c r="C21">
        <v>20</v>
      </c>
      <c r="D21">
        <v>19</v>
      </c>
      <c r="E21" t="s">
        <v>77</v>
      </c>
      <c r="K21" t="s">
        <v>78</v>
      </c>
    </row>
    <row r="22" spans="1:26" ht="21" customHeight="1">
      <c r="A22" t="s">
        <v>76</v>
      </c>
      <c r="B22" t="s">
        <v>62</v>
      </c>
      <c r="C22">
        <v>21</v>
      </c>
      <c r="D22">
        <v>20</v>
      </c>
      <c r="E22" t="s">
        <v>79</v>
      </c>
      <c r="L22" t="inlineStr">
        <is>
          <t>M-</t>
        </is>
      </c>
    </row>
    <row r="23" spans="1:26" ht="21" customHeight="1">
      <c r="A23" t="s">
        <v>76</v>
      </c>
      <c r="B23" t="s">
        <v>62</v>
      </c>
      <c r="C23">
        <v>22</v>
      </c>
      <c r="D23">
        <v>21</v>
      </c>
      <c r="E23" t="s">
        <v>80</v>
      </c>
      <c r="G23" t="s">
        <v>81</v>
      </c>
      <c r="I23" t="s">
        <v>31</v>
      </c>
      <c r="L23" t="inlineStr">
        <is>
          <t>M-</t>
        </is>
      </c>
      <c r="O23" t="s">
        <v>14</v>
      </c>
    </row>
    <row r="24" spans="1:26" ht="21" customHeight="1">
      <c r="A24" t="s">
        <v>76</v>
      </c>
      <c r="B24" t="s">
        <v>62</v>
      </c>
      <c r="C24">
        <v>23</v>
      </c>
      <c r="D24">
        <v>22</v>
      </c>
      <c r="E24" t="s">
        <v>82</v>
      </c>
      <c r="G24" t="s">
        <v>83</v>
      </c>
      <c r="L24" t="inlineStr">
        <is>
          <t>M-</t>
        </is>
      </c>
      <c r="P24" t="s">
        <v>15</v>
      </c>
    </row>
    <row r="25" spans="1:26" ht="21" customHeight="1">
      <c r="A25" t="s">
        <v>76</v>
      </c>
      <c r="B25" t="s">
        <v>62</v>
      </c>
      <c r="C25">
        <v>24</v>
      </c>
      <c r="D25">
        <v>23</v>
      </c>
      <c r="E25" t="s">
        <v>84</v>
      </c>
      <c r="G25" t="s">
        <v>85</v>
      </c>
      <c r="L25" t="inlineStr">
        <is>
          <t>M-</t>
        </is>
      </c>
    </row>
    <row r="26" spans="1:26" ht="21" customHeight="1">
      <c r="A26" t="s">
        <v>76</v>
      </c>
      <c r="B26" t="s">
        <v>86</v>
      </c>
      <c r="C26">
        <v>25</v>
      </c>
      <c r="D26">
        <v>24</v>
      </c>
      <c r="E26" t="s">
        <v>87</v>
      </c>
      <c r="G26" t="s">
        <v>88</v>
      </c>
      <c r="I26" t="s">
        <v>31</v>
      </c>
      <c r="L26" t="inlineStr">
        <is>
          <t>M-</t>
        </is>
      </c>
      <c r="P26" t="s">
        <v>15</v>
      </c>
    </row>
    <row r="27" spans="1:26" ht="21" customHeight="1">
      <c r="A27" t="s">
        <v>76</v>
      </c>
      <c r="B27" t="s">
        <v>89</v>
      </c>
      <c r="C27">
        <v>26</v>
      </c>
      <c r="D27">
        <v>25</v>
      </c>
      <c r="E27" t="s">
        <v>90</v>
      </c>
      <c r="G27" t="s">
        <v>91</v>
      </c>
      <c r="H27" t="s">
        <v>92</v>
      </c>
      <c r="J27" t="s">
        <v>31</v>
      </c>
      <c r="L27" t="inlineStr">
        <is>
          <t>M-</t>
        </is>
      </c>
    </row>
    <row r="28" spans="1:26" ht="21" customHeight="1">
      <c r="A28" t="s">
        <v>76</v>
      </c>
      <c r="B28" t="s">
        <v>68</v>
      </c>
      <c r="C28">
        <v>27</v>
      </c>
      <c r="D28">
        <v>26</v>
      </c>
      <c r="E28" t="s">
        <v>93</v>
      </c>
      <c r="L28" t="inlineStr">
        <is>
          <t>M-</t>
        </is>
      </c>
    </row>
    <row r="29" spans="1:26" ht="21" customHeight="1">
      <c r="A29" t="s">
        <v>76</v>
      </c>
      <c r="B29" t="s">
        <v>94</v>
      </c>
      <c r="C29">
        <v>28</v>
      </c>
      <c r="D29">
        <v>27</v>
      </c>
      <c r="E29" t="s">
        <v>95</v>
      </c>
      <c r="F29" t="s">
        <v>5</v>
      </c>
      <c r="H29" t="s">
        <v>96</v>
      </c>
      <c r="I29" t="s">
        <v>31</v>
      </c>
      <c r="J29" t="s">
        <v>31</v>
      </c>
      <c r="K29" t="s">
        <v>97</v>
      </c>
      <c r="L29" t="inlineStr">
        <is>
          <t>M-</t>
        </is>
      </c>
      <c r="M29" t="s">
        <v>45</v>
      </c>
      <c r="P29" t="s">
        <v>15</v>
      </c>
      <c r="R29" t="s">
        <v>98</v>
      </c>
    </row>
    <row r="30" spans="1:26" ht="21" customHeight="1">
      <c r="A30" t="s">
        <v>99</v>
      </c>
      <c r="B30" t="s">
        <v>68</v>
      </c>
      <c r="C30">
        <v>29</v>
      </c>
      <c r="D30">
        <v>28</v>
      </c>
      <c r="E30" t="s">
        <v>100</v>
      </c>
      <c r="L30" t="inlineStr">
        <is>
          <t>M-</t>
        </is>
      </c>
    </row>
    <row r="31" spans="1:26" ht="21" customHeight="1">
      <c r="A31" t="s">
        <v>99</v>
      </c>
      <c r="B31" t="s">
        <v>64</v>
      </c>
      <c r="C31">
        <v>30</v>
      </c>
      <c r="D31">
        <v>29</v>
      </c>
      <c r="E31" t="s">
        <v>101</v>
      </c>
      <c r="G31" t="s">
        <v>102</v>
      </c>
      <c r="I31" t="s">
        <v>31</v>
      </c>
    </row>
    <row r="32" spans="1:26" ht="21" customHeight="1">
      <c r="A32" t="s">
        <v>99</v>
      </c>
      <c r="B32" t="s">
        <v>64</v>
      </c>
      <c r="C32">
        <v>31</v>
      </c>
      <c r="D32">
        <v>30</v>
      </c>
      <c r="E32" t="s">
        <v>103</v>
      </c>
      <c r="I32" t="s">
        <v>31</v>
      </c>
      <c r="J32" t="s">
        <v>44</v>
      </c>
      <c r="T32" t="s">
        <v>104</v>
      </c>
    </row>
    <row r="33" spans="1:26" ht="21" customHeight="1">
      <c r="A33" t="s">
        <v>99</v>
      </c>
      <c r="B33" t="s">
        <v>64</v>
      </c>
      <c r="C33">
        <v>32</v>
      </c>
      <c r="D33">
        <v>31</v>
      </c>
      <c r="E33" t="s">
        <v>105</v>
      </c>
      <c r="H33" t="s">
        <v>106</v>
      </c>
      <c r="K33" t="s">
        <v>107</v>
      </c>
      <c r="R33" t="s">
        <v>108</v>
      </c>
      <c r="T33" t="s">
        <v>109</v>
      </c>
    </row>
    <row r="34" spans="1:26" ht="21" customHeight="1">
      <c r="A34" t="s">
        <v>110</v>
      </c>
      <c r="B34" t="s">
        <v>111</v>
      </c>
      <c r="C34">
        <v>33</v>
      </c>
      <c r="D34">
        <v>32</v>
      </c>
      <c r="E34" t="s">
        <v>112</v>
      </c>
      <c r="F34" t="s">
        <v>5</v>
      </c>
      <c r="H34" t="s">
        <v>31</v>
      </c>
      <c r="I34" t="s">
        <v>31</v>
      </c>
      <c r="J34" t="s">
        <v>44</v>
      </c>
      <c r="K34" t="s">
        <v>113</v>
      </c>
      <c r="L34" t="inlineStr">
        <is>
          <t>M-</t>
        </is>
      </c>
      <c r="O34" t="s">
        <v>14</v>
      </c>
    </row>
    <row r="35" spans="1:26" ht="21" customHeight="1">
      <c r="A35" t="s">
        <v>110</v>
      </c>
      <c r="B35" t="s">
        <v>62</v>
      </c>
      <c r="C35">
        <v>34</v>
      </c>
      <c r="D35">
        <v>33</v>
      </c>
      <c r="E35" t="s">
        <v>114</v>
      </c>
      <c r="L35" t="inlineStr">
        <is>
          <t>M-</t>
        </is>
      </c>
    </row>
    <row r="36" spans="1:26" ht="21" customHeight="1">
      <c r="A36" t="s">
        <v>110</v>
      </c>
      <c r="B36" t="s">
        <v>86</v>
      </c>
      <c r="C36">
        <v>35</v>
      </c>
      <c r="D36">
        <v>34</v>
      </c>
      <c r="E36" t="s">
        <v>115</v>
      </c>
      <c r="G36" t="s">
        <v>116</v>
      </c>
      <c r="J36" t="s">
        <v>44</v>
      </c>
      <c r="L36" t="inlineStr">
        <is>
          <t>M-</t>
        </is>
      </c>
    </row>
    <row r="37" spans="1:26" ht="21" customHeight="1">
      <c r="A37" t="s">
        <v>110</v>
      </c>
      <c r="B37" t="s">
        <v>38</v>
      </c>
      <c r="C37">
        <v>36</v>
      </c>
      <c r="D37">
        <v>35</v>
      </c>
      <c r="E37" t="s">
        <v>117</v>
      </c>
      <c r="F37" t="s">
        <v>5</v>
      </c>
      <c r="G37" t="s">
        <v>118</v>
      </c>
      <c r="H37" t="s">
        <v>31</v>
      </c>
      <c r="I37" t="s">
        <v>31</v>
      </c>
      <c r="J37" t="s">
        <v>44</v>
      </c>
      <c r="K37" t="s">
        <v>119</v>
      </c>
      <c r="L37" t="inlineStr">
        <is>
          <t>M-</t>
        </is>
      </c>
      <c r="M37" t="s">
        <v>45</v>
      </c>
    </row>
    <row r="38" spans="1:26" ht="21" customHeight="1">
      <c r="A38" t="s">
        <v>110</v>
      </c>
      <c r="B38" t="s">
        <v>120</v>
      </c>
      <c r="C38">
        <v>37</v>
      </c>
      <c r="D38">
        <v>36</v>
      </c>
      <c r="E38" t="s">
        <v>121</v>
      </c>
      <c r="G38" t="s">
        <v>122</v>
      </c>
      <c r="L38" t="inlineStr">
        <is>
          <t>M-</t>
        </is>
      </c>
    </row>
    <row r="39" spans="1:26" ht="21" customHeight="1">
      <c r="A39" t="s">
        <v>110</v>
      </c>
      <c r="B39" t="s">
        <v>64</v>
      </c>
      <c r="C39">
        <v>38</v>
      </c>
      <c r="D39">
        <v>37</v>
      </c>
      <c r="E39" t="s">
        <v>123</v>
      </c>
      <c r="I39" t="s">
        <v>31</v>
      </c>
      <c r="L39" t="inlineStr">
        <is>
          <t>M-</t>
        </is>
      </c>
      <c r="O39" t="s">
        <v>14</v>
      </c>
      <c r="R39" t="s">
        <v>124</v>
      </c>
      <c r="T39" t="s">
        <v>125</v>
      </c>
    </row>
    <row r="40" spans="1:26" ht="21" customHeight="1">
      <c r="A40" t="s">
        <v>110</v>
      </c>
      <c r="B40" t="s">
        <v>34</v>
      </c>
      <c r="C40">
        <v>39</v>
      </c>
      <c r="D40">
        <v>38</v>
      </c>
      <c r="E40" t="s">
        <v>126</v>
      </c>
      <c r="G40" t="s">
        <v>127</v>
      </c>
      <c r="K40" t="s">
        <v>128</v>
      </c>
      <c r="O40" t="s">
        <v>14</v>
      </c>
      <c r="T40" t="s">
        <v>129</v>
      </c>
    </row>
    <row r="41" spans="1:26" ht="21" customHeight="1">
      <c r="A41" t="s">
        <v>110</v>
      </c>
      <c r="B41" t="s">
        <v>130</v>
      </c>
      <c r="C41">
        <v>40</v>
      </c>
      <c r="D41">
        <v>39</v>
      </c>
      <c r="E41" t="s">
        <v>131</v>
      </c>
      <c r="J41" t="s">
        <v>44</v>
      </c>
      <c r="M41" t="s">
        <v>45</v>
      </c>
    </row>
    <row r="42" spans="1:26" ht="21" customHeight="1">
      <c r="A42" t="s">
        <v>110</v>
      </c>
      <c r="B42" t="s">
        <v>38</v>
      </c>
      <c r="C42">
        <v>41</v>
      </c>
      <c r="D42">
        <v>40</v>
      </c>
      <c r="E42" t="s">
        <v>132</v>
      </c>
      <c r="K42" t="s">
        <v>133</v>
      </c>
    </row>
    <row r="43" spans="1:26" ht="21" customHeight="1">
      <c r="A43" t="s">
        <v>110</v>
      </c>
      <c r="B43" t="s">
        <v>62</v>
      </c>
      <c r="C43">
        <v>42</v>
      </c>
      <c r="D43">
        <v>41</v>
      </c>
      <c r="E43" t="s">
        <v>134</v>
      </c>
      <c r="L43" t="inlineStr">
        <is>
          <t>M-</t>
        </is>
      </c>
    </row>
    <row r="44" spans="1:26" ht="21" customHeight="1">
      <c r="A44" t="s">
        <v>110</v>
      </c>
      <c r="B44" t="s">
        <v>64</v>
      </c>
      <c r="C44">
        <v>43</v>
      </c>
      <c r="D44">
        <v>42</v>
      </c>
      <c r="E44" t="s">
        <v>135</v>
      </c>
      <c r="J44" t="s">
        <v>44</v>
      </c>
    </row>
    <row r="45" spans="1:26" ht="21" customHeight="1">
      <c r="A45" t="s">
        <v>110</v>
      </c>
      <c r="B45" t="s">
        <v>89</v>
      </c>
      <c r="C45">
        <v>44</v>
      </c>
      <c r="D45">
        <v>43</v>
      </c>
      <c r="E45" t="s">
        <v>136</v>
      </c>
      <c r="J45" t="s">
        <v>44</v>
      </c>
    </row>
    <row r="46" spans="1:26" ht="21" customHeight="1">
      <c r="A46" t="s">
        <v>110</v>
      </c>
      <c r="B46" t="s">
        <v>94</v>
      </c>
      <c r="C46">
        <v>45</v>
      </c>
      <c r="D46">
        <v>44</v>
      </c>
      <c r="E46" t="s">
        <v>137</v>
      </c>
      <c r="F46" t="s">
        <v>5</v>
      </c>
      <c r="H46" t="s">
        <v>106</v>
      </c>
      <c r="I46" t="s">
        <v>31</v>
      </c>
      <c r="J46" t="s">
        <v>44</v>
      </c>
      <c r="K46" t="s">
        <v>138</v>
      </c>
      <c r="L46" t="inlineStr">
        <is>
          <t>M-</t>
        </is>
      </c>
      <c r="M46" t="s">
        <v>45</v>
      </c>
      <c r="P46" t="s">
        <v>15</v>
      </c>
    </row>
    <row r="47" spans="1:26" ht="21" customHeight="1">
      <c r="A47" t="s">
        <v>110</v>
      </c>
      <c r="B47" t="s">
        <v>62</v>
      </c>
      <c r="C47">
        <v>46</v>
      </c>
      <c r="D47">
        <v>45</v>
      </c>
      <c r="E47" t="s">
        <v>139</v>
      </c>
      <c r="H47" t="s">
        <v>31</v>
      </c>
      <c r="L47" t="inlineStr">
        <is>
          <t>M-</t>
        </is>
      </c>
    </row>
    <row r="48" spans="1:26" ht="21" customHeight="1">
      <c r="A48" t="s">
        <v>110</v>
      </c>
      <c r="B48" t="s">
        <v>89</v>
      </c>
      <c r="C48">
        <v>47</v>
      </c>
      <c r="D48">
        <v>46</v>
      </c>
      <c r="E48" t="s">
        <v>140</v>
      </c>
      <c r="L48" t="inlineStr">
        <is>
          <t>M-</t>
        </is>
      </c>
    </row>
    <row r="49" spans="1:26" ht="21" customHeight="1">
      <c r="A49" t="s">
        <v>110</v>
      </c>
      <c r="B49" t="s">
        <v>38</v>
      </c>
      <c r="C49">
        <v>48</v>
      </c>
      <c r="D49">
        <v>47</v>
      </c>
      <c r="E49" t="s">
        <v>141</v>
      </c>
      <c r="G49" t="s">
        <v>142</v>
      </c>
      <c r="H49" t="s">
        <v>106</v>
      </c>
      <c r="K49" t="s">
        <v>143</v>
      </c>
      <c r="T49" t="s">
        <v>144</v>
      </c>
    </row>
    <row r="50" spans="1:26" ht="21" customHeight="1">
      <c r="A50" t="s">
        <v>110</v>
      </c>
      <c r="B50" t="s">
        <v>62</v>
      </c>
      <c r="C50">
        <v>49</v>
      </c>
      <c r="D50">
        <v>48</v>
      </c>
      <c r="E50" t="s">
        <v>145</v>
      </c>
      <c r="H50" t="s">
        <v>106</v>
      </c>
      <c r="J50" t="s">
        <v>44</v>
      </c>
      <c r="L50" t="inlineStr">
        <is>
          <t>M-</t>
        </is>
      </c>
    </row>
    <row r="51" spans="1:26" ht="21" customHeight="1">
      <c r="A51" t="s">
        <v>110</v>
      </c>
      <c r="B51" t="s">
        <v>64</v>
      </c>
      <c r="C51">
        <v>50</v>
      </c>
      <c r="D51">
        <v>49</v>
      </c>
      <c r="E51" t="s">
        <v>146</v>
      </c>
      <c r="H51" t="s">
        <v>106</v>
      </c>
      <c r="K51" t="s">
        <v>147</v>
      </c>
    </row>
    <row r="52" spans="1:26" ht="21" customHeight="1">
      <c r="A52" t="s">
        <v>110</v>
      </c>
      <c r="B52" t="s">
        <v>62</v>
      </c>
      <c r="C52">
        <v>51</v>
      </c>
      <c r="D52">
        <v>50</v>
      </c>
      <c r="E52" t="s">
        <v>148</v>
      </c>
      <c r="F52" t="s">
        <v>5</v>
      </c>
      <c r="H52" t="s">
        <v>106</v>
      </c>
      <c r="J52" t="s">
        <v>44</v>
      </c>
      <c r="L52" t="inlineStr">
        <is>
          <t>M-</t>
        </is>
      </c>
    </row>
    <row r="53" spans="1:26" ht="21" customHeight="1">
      <c r="A53" t="s">
        <v>110</v>
      </c>
      <c r="B53" t="s">
        <v>62</v>
      </c>
      <c r="C53">
        <v>52</v>
      </c>
      <c r="D53">
        <v>51</v>
      </c>
      <c r="E53" t="s">
        <v>149</v>
      </c>
      <c r="G53" t="s">
        <v>150</v>
      </c>
      <c r="L53" t="inlineStr">
        <is>
          <t>M-</t>
        </is>
      </c>
      <c r="R53" t="s">
        <v>151</v>
      </c>
    </row>
    <row r="54" spans="1:26" ht="21" customHeight="1">
      <c r="A54" t="s">
        <v>110</v>
      </c>
      <c r="B54" t="s">
        <v>152</v>
      </c>
      <c r="C54">
        <v>53</v>
      </c>
      <c r="D54">
        <v>52</v>
      </c>
      <c r="E54" t="s">
        <v>153</v>
      </c>
      <c r="G54" t="s">
        <v>154</v>
      </c>
      <c r="J54" t="s">
        <v>44</v>
      </c>
      <c r="T54" t="s">
        <v>155</v>
      </c>
    </row>
    <row r="55" spans="1:26" ht="21" customHeight="1">
      <c r="A55" t="s">
        <v>110</v>
      </c>
      <c r="B55" t="s">
        <v>38</v>
      </c>
      <c r="C55">
        <v>54</v>
      </c>
      <c r="D55">
        <v>53</v>
      </c>
      <c r="E55" t="s">
        <v>156</v>
      </c>
      <c r="H55" t="s">
        <v>31</v>
      </c>
      <c r="K55" t="s">
        <v>157</v>
      </c>
    </row>
    <row r="56" spans="1:26" ht="21" customHeight="1">
      <c r="A56" t="s">
        <v>110</v>
      </c>
      <c r="B56" t="s">
        <v>38</v>
      </c>
      <c r="C56">
        <v>55</v>
      </c>
      <c r="D56">
        <v>54</v>
      </c>
      <c r="E56" t="s">
        <v>158</v>
      </c>
      <c r="K56" t="s">
        <v>159</v>
      </c>
    </row>
    <row r="57" spans="1:26" ht="21" customHeight="1">
      <c r="A57" t="s">
        <v>110</v>
      </c>
      <c r="B57" t="s">
        <v>89</v>
      </c>
      <c r="C57">
        <v>56</v>
      </c>
      <c r="D57">
        <v>55</v>
      </c>
      <c r="E57" t="s">
        <v>160</v>
      </c>
      <c r="G57" t="s">
        <v>161</v>
      </c>
      <c r="L57" t="inlineStr">
        <is>
          <t>M-</t>
        </is>
      </c>
      <c r="O57" t="s">
        <v>14</v>
      </c>
      <c r="T57" t="s">
        <v>162</v>
      </c>
    </row>
    <row r="58" spans="1:26" ht="21" customHeight="1">
      <c r="A58" t="s">
        <v>110</v>
      </c>
      <c r="B58" t="s">
        <v>89</v>
      </c>
      <c r="C58">
        <v>57</v>
      </c>
      <c r="D58">
        <v>56</v>
      </c>
      <c r="E58" t="s">
        <v>163</v>
      </c>
      <c r="G58" t="s">
        <v>164</v>
      </c>
      <c r="H58" t="s">
        <v>31</v>
      </c>
      <c r="J58" t="s">
        <v>44</v>
      </c>
      <c r="L58" t="inlineStr">
        <is>
          <t>M-</t>
        </is>
      </c>
    </row>
    <row r="59" spans="1:26" ht="21" customHeight="1">
      <c r="A59" t="s">
        <v>110</v>
      </c>
      <c r="B59" t="s">
        <v>89</v>
      </c>
      <c r="C59">
        <v>58</v>
      </c>
      <c r="D59">
        <v>57</v>
      </c>
      <c r="E59" t="s">
        <v>165</v>
      </c>
      <c r="G59" t="s">
        <v>166</v>
      </c>
      <c r="J59" t="s">
        <v>44</v>
      </c>
      <c r="O59" t="s">
        <v>14</v>
      </c>
      <c r="T59" t="s">
        <v>162</v>
      </c>
    </row>
    <row r="60" spans="1:26" ht="21" customHeight="1">
      <c r="A60" t="s">
        <v>167</v>
      </c>
      <c r="B60" t="s">
        <v>111</v>
      </c>
      <c r="C60">
        <v>59</v>
      </c>
      <c r="D60">
        <v>58</v>
      </c>
      <c r="E60" t="s">
        <v>168</v>
      </c>
      <c r="G60" t="s">
        <v>169</v>
      </c>
      <c r="H60" t="s">
        <v>31</v>
      </c>
      <c r="J60" t="s">
        <v>44</v>
      </c>
      <c r="L60" t="inlineStr">
        <is>
          <t>M-</t>
        </is>
      </c>
    </row>
    <row r="61" spans="1:26" ht="21" customHeight="1">
      <c r="A61" t="s">
        <v>167</v>
      </c>
      <c r="B61" t="s">
        <v>120</v>
      </c>
      <c r="C61">
        <v>60</v>
      </c>
      <c r="D61">
        <v>59</v>
      </c>
      <c r="E61" t="s">
        <v>170</v>
      </c>
      <c r="G61" t="s">
        <v>171</v>
      </c>
      <c r="L61" t="inlineStr">
        <is>
          <t>M-</t>
        </is>
      </c>
    </row>
    <row r="62" spans="1:26" ht="21" customHeight="1">
      <c r="A62" t="s">
        <v>167</v>
      </c>
      <c r="B62" t="s">
        <v>86</v>
      </c>
      <c r="C62">
        <v>61</v>
      </c>
      <c r="D62">
        <v>60</v>
      </c>
      <c r="E62" t="s">
        <v>172</v>
      </c>
      <c r="F62" t="s">
        <v>5</v>
      </c>
      <c r="G62" t="s">
        <v>173</v>
      </c>
      <c r="L62" t="inlineStr">
        <is>
          <t>M-</t>
        </is>
      </c>
      <c r="O62" t="s">
        <v>14</v>
      </c>
    </row>
    <row r="63" spans="1:26" ht="21" customHeight="1">
      <c r="A63" t="s">
        <v>167</v>
      </c>
      <c r="B63" t="s">
        <v>86</v>
      </c>
      <c r="C63">
        <v>62</v>
      </c>
      <c r="D63">
        <v>61</v>
      </c>
      <c r="E63" t="s">
        <v>174</v>
      </c>
      <c r="F63" t="s">
        <v>5</v>
      </c>
      <c r="G63" t="s">
        <v>175</v>
      </c>
      <c r="L63" t="inlineStr">
        <is>
          <t>M-</t>
        </is>
      </c>
    </row>
    <row r="64" spans="1:26" ht="21" customHeight="1">
      <c r="A64" t="s">
        <v>167</v>
      </c>
      <c r="B64" t="s">
        <v>64</v>
      </c>
      <c r="C64">
        <v>63</v>
      </c>
      <c r="D64">
        <v>62</v>
      </c>
      <c r="E64" t="s">
        <v>176</v>
      </c>
      <c r="J64" t="s">
        <v>44</v>
      </c>
    </row>
    <row r="65" spans="1:26" ht="21" customHeight="1">
      <c r="A65" t="s">
        <v>167</v>
      </c>
      <c r="B65" t="s">
        <v>38</v>
      </c>
      <c r="C65">
        <v>64</v>
      </c>
      <c r="D65">
        <v>63</v>
      </c>
      <c r="E65" t="s">
        <v>177</v>
      </c>
      <c r="F65" t="s">
        <v>5</v>
      </c>
      <c r="G65" t="s">
        <v>178</v>
      </c>
      <c r="H65" t="s">
        <v>106</v>
      </c>
      <c r="I65" t="s">
        <v>31</v>
      </c>
      <c r="J65" t="s">
        <v>44</v>
      </c>
      <c r="K65" t="s">
        <v>179</v>
      </c>
      <c r="L65" t="inlineStr">
        <is>
          <t>M-</t>
        </is>
      </c>
      <c r="M65" t="s">
        <v>45</v>
      </c>
    </row>
    <row r="66" spans="1:26" ht="21" customHeight="1">
      <c r="A66" t="s">
        <v>167</v>
      </c>
      <c r="B66" t="s">
        <v>62</v>
      </c>
      <c r="C66">
        <v>65</v>
      </c>
      <c r="D66">
        <v>64</v>
      </c>
      <c r="E66" t="s">
        <v>180</v>
      </c>
      <c r="I66" t="s">
        <v>31</v>
      </c>
    </row>
    <row r="67" spans="1:26" ht="21" customHeight="1">
      <c r="A67" t="s">
        <v>167</v>
      </c>
      <c r="B67" t="s">
        <v>89</v>
      </c>
      <c r="C67">
        <v>66</v>
      </c>
      <c r="D67">
        <v>65</v>
      </c>
      <c r="E67" t="s">
        <v>181</v>
      </c>
      <c r="G67" t="s">
        <v>182</v>
      </c>
      <c r="J67" t="s">
        <v>44</v>
      </c>
      <c r="T67" t="s">
        <v>183</v>
      </c>
    </row>
    <row r="68" spans="1:26" ht="21" customHeight="1">
      <c r="A68" t="s">
        <v>167</v>
      </c>
      <c r="B68" t="s">
        <v>89</v>
      </c>
      <c r="C68">
        <v>67</v>
      </c>
      <c r="D68">
        <v>66</v>
      </c>
      <c r="E68" t="s">
        <v>184</v>
      </c>
      <c r="K68" t="inlineStr">
        <is>
          <t>K-39</t>
        </is>
      </c>
    </row>
    <row r="69" spans="1:26" ht="21" customHeight="1">
      <c r="A69" t="s">
        <v>167</v>
      </c>
      <c r="B69" t="s">
        <v>62</v>
      </c>
      <c r="C69">
        <v>68</v>
      </c>
      <c r="D69">
        <v>67</v>
      </c>
      <c r="E69" t="s">
        <v>185</v>
      </c>
      <c r="J69" t="s">
        <v>44</v>
      </c>
    </row>
    <row r="70" spans="1:26" ht="21" customHeight="1">
      <c r="A70" t="s">
        <v>167</v>
      </c>
      <c r="B70" t="s">
        <v>62</v>
      </c>
      <c r="C70">
        <v>69</v>
      </c>
      <c r="D70">
        <v>68</v>
      </c>
      <c r="E70" t="s">
        <v>186</v>
      </c>
      <c r="I70" t="s">
        <v>78</v>
      </c>
      <c r="L70" t="s">
        <v>187</v>
      </c>
      <c r="O70" t="s">
        <v>14</v>
      </c>
    </row>
    <row r="71" spans="1:26" ht="21" customHeight="1">
      <c r="A71" t="s">
        <v>167</v>
      </c>
      <c r="B71" t="s">
        <v>86</v>
      </c>
      <c r="C71">
        <v>70</v>
      </c>
      <c r="D71">
        <v>69</v>
      </c>
      <c r="E71" t="s">
        <v>188</v>
      </c>
      <c r="G71" t="s">
        <v>189</v>
      </c>
      <c r="I71" t="s">
        <v>187</v>
      </c>
      <c r="L71" t="s">
        <v>30</v>
      </c>
      <c r="O71" t="s">
        <v>14</v>
      </c>
    </row>
    <row r="72" spans="1:26" ht="21" customHeight="1">
      <c r="A72" t="s">
        <v>167</v>
      </c>
      <c r="B72" t="s">
        <v>64</v>
      </c>
      <c r="C72">
        <v>71</v>
      </c>
      <c r="D72">
        <v>70</v>
      </c>
      <c r="E72" t="s">
        <v>190</v>
      </c>
      <c r="G72" t="s">
        <v>191</v>
      </c>
      <c r="I72" t="s">
        <v>192</v>
      </c>
      <c r="L72" t="s">
        <v>97</v>
      </c>
      <c r="O72" t="s">
        <v>14</v>
      </c>
      <c r="R72" t="s">
        <v>193</v>
      </c>
    </row>
    <row r="73" spans="1:26" ht="21" customHeight="1">
      <c r="A73" t="s">
        <v>167</v>
      </c>
      <c r="B73" t="s">
        <v>38</v>
      </c>
      <c r="C73">
        <v>72</v>
      </c>
      <c r="D73">
        <v>71</v>
      </c>
      <c r="E73" t="s">
        <v>194</v>
      </c>
      <c r="G73" t="s">
        <v>195</v>
      </c>
      <c r="I73" t="s">
        <v>196</v>
      </c>
      <c r="L73" t="s">
        <v>192</v>
      </c>
      <c r="R73" t="s">
        <v>197</v>
      </c>
      <c r="T73" t="s">
        <v>144</v>
      </c>
    </row>
    <row r="74" spans="1:26" ht="21" customHeight="1">
      <c r="A74" t="s">
        <v>167</v>
      </c>
      <c r="B74" t="s">
        <v>62</v>
      </c>
      <c r="C74">
        <v>73</v>
      </c>
      <c r="D74">
        <v>72</v>
      </c>
      <c r="E74" t="s">
        <v>198</v>
      </c>
      <c r="G74" t="s">
        <v>199</v>
      </c>
      <c r="I74" t="s">
        <v>200</v>
      </c>
      <c r="L74" t="s">
        <v>196</v>
      </c>
      <c r="T74" t="s">
        <v>129</v>
      </c>
    </row>
    <row r="75" spans="1:26" ht="21" customHeight="1">
      <c r="A75" t="s">
        <v>167</v>
      </c>
      <c r="B75" t="s">
        <v>38</v>
      </c>
      <c r="C75">
        <v>74</v>
      </c>
      <c r="D75">
        <v>73</v>
      </c>
      <c r="E75" t="s">
        <v>201</v>
      </c>
      <c r="G75" t="s">
        <v>202</v>
      </c>
      <c r="I75" t="s">
        <v>203</v>
      </c>
      <c r="L75" t="s">
        <v>200</v>
      </c>
    </row>
    <row r="76" spans="1:26" ht="21" customHeight="1">
      <c r="A76" t="s">
        <v>204</v>
      </c>
      <c r="B76" t="s">
        <v>89</v>
      </c>
      <c r="C76">
        <v>75</v>
      </c>
      <c r="D76">
        <v>74</v>
      </c>
      <c r="E76" t="s">
        <v>205</v>
      </c>
      <c r="M76" t="s">
        <v>45</v>
      </c>
      <c r="R76" t="s">
        <v>206</v>
      </c>
    </row>
    <row r="77" spans="1:26" ht="21" customHeight="1">
      <c r="A77" t="s">
        <v>204</v>
      </c>
      <c r="B77" t="s">
        <v>89</v>
      </c>
      <c r="C77">
        <v>76</v>
      </c>
      <c r="D77">
        <v>75</v>
      </c>
      <c r="E77" t="s">
        <v>207</v>
      </c>
      <c r="G77" t="s">
        <v>208</v>
      </c>
      <c r="I77" t="s">
        <v>209</v>
      </c>
      <c r="L77" t="s">
        <v>31</v>
      </c>
      <c r="R77" t="s">
        <v>210</v>
      </c>
      <c r="T77" t="s">
        <v>183</v>
      </c>
    </row>
    <row r="78" spans="1:26" ht="21" customHeight="1">
      <c r="A78" t="s">
        <v>204</v>
      </c>
      <c r="B78" t="s">
        <v>38</v>
      </c>
      <c r="C78">
        <v>77</v>
      </c>
      <c r="D78">
        <v>76</v>
      </c>
      <c r="E78" t="s">
        <v>211</v>
      </c>
      <c r="F78" t="s">
        <v>5</v>
      </c>
      <c r="H78" t="s">
        <v>31</v>
      </c>
      <c r="I78" t="s">
        <v>212</v>
      </c>
      <c r="J78" t="s">
        <v>44</v>
      </c>
      <c r="K78" t="inlineStr">
        <is>
          <t>K-22</t>
        </is>
      </c>
      <c r="L78" t="s">
        <v>31</v>
      </c>
      <c r="M78" t="s">
        <v>45</v>
      </c>
      <c r="O78" t="s">
        <v>14</v>
      </c>
    </row>
    <row r="79" spans="1:26" ht="21" customHeight="1">
      <c r="A79" t="s">
        <v>204</v>
      </c>
      <c r="B79" t="s">
        <v>111</v>
      </c>
      <c r="C79">
        <v>78</v>
      </c>
      <c r="D79">
        <v>77</v>
      </c>
      <c r="E79" t="s">
        <v>213</v>
      </c>
      <c r="H79" t="s">
        <v>31</v>
      </c>
      <c r="J79" t="s">
        <v>44</v>
      </c>
      <c r="L79" t="s">
        <v>31</v>
      </c>
    </row>
    <row r="80" spans="1:26" ht="21" customHeight="1">
      <c r="A80" t="s">
        <v>204</v>
      </c>
      <c r="B80" t="s">
        <v>38</v>
      </c>
      <c r="C80">
        <v>79</v>
      </c>
      <c r="D80">
        <v>290</v>
      </c>
      <c r="E80" t="s">
        <v>214</v>
      </c>
      <c r="I80" t="s">
        <v>97</v>
      </c>
      <c r="L80" t="s">
        <v>78</v>
      </c>
    </row>
    <row r="81" spans="1:26" ht="21" customHeight="1">
      <c r="A81" t="s">
        <v>204</v>
      </c>
      <c r="B81" t="s">
        <v>64</v>
      </c>
      <c r="C81">
        <v>80</v>
      </c>
      <c r="D81">
        <v>292</v>
      </c>
      <c r="E81" t="inlineStr">
        <is>
          <t>ポポラ-イーナ　Popora•Ina</t>
        </is>
      </c>
      <c r="I81" t="s">
        <v>216</v>
      </c>
      <c r="L81" t="s">
        <v>203</v>
      </c>
    </row>
    <row r="82" spans="1:26" ht="21" customHeight="1">
      <c r="A82" t="s">
        <v>217</v>
      </c>
      <c r="B82" t="s">
        <v>111</v>
      </c>
      <c r="C82">
        <v>81</v>
      </c>
      <c r="D82">
        <v>78</v>
      </c>
      <c r="E82" t="s">
        <v>218</v>
      </c>
      <c r="F82" t="s">
        <v>5</v>
      </c>
      <c r="G82" t="s">
        <v>219</v>
      </c>
      <c r="H82" t="s">
        <v>31</v>
      </c>
      <c r="I82" t="s">
        <v>119</v>
      </c>
      <c r="J82" t="s">
        <v>44</v>
      </c>
      <c r="K82" t="inlineStr">
        <is>
          <t>K-23</t>
        </is>
      </c>
      <c r="L82" t="s">
        <v>31</v>
      </c>
      <c r="M82" t="s">
        <v>45</v>
      </c>
    </row>
    <row r="83" spans="1:26" ht="21" customHeight="1">
      <c r="A83" t="s">
        <v>217</v>
      </c>
      <c r="B83" t="s">
        <v>111</v>
      </c>
      <c r="C83">
        <v>82</v>
      </c>
      <c r="D83">
        <v>79</v>
      </c>
      <c r="E83" t="s">
        <v>220</v>
      </c>
      <c r="F83" t="s">
        <v>5</v>
      </c>
      <c r="G83" t="s">
        <v>221</v>
      </c>
      <c r="H83" t="s">
        <v>31</v>
      </c>
      <c r="J83" t="s">
        <v>44</v>
      </c>
      <c r="L83" t="s">
        <v>31</v>
      </c>
    </row>
    <row r="84" spans="1:26" ht="21" customHeight="1">
      <c r="A84" t="s">
        <v>217</v>
      </c>
      <c r="B84" t="s">
        <v>111</v>
      </c>
      <c r="C84">
        <v>83</v>
      </c>
      <c r="D84">
        <v>80</v>
      </c>
      <c r="E84" t="s">
        <v>222</v>
      </c>
      <c r="G84" t="s">
        <v>223</v>
      </c>
      <c r="H84" t="s">
        <v>31</v>
      </c>
      <c r="I84" t="s">
        <v>107</v>
      </c>
      <c r="J84" t="s">
        <v>44</v>
      </c>
      <c r="K84" t="inlineStr">
        <is>
          <t>K-24</t>
        </is>
      </c>
      <c r="L84" t="s">
        <v>31</v>
      </c>
      <c r="M84" t="s">
        <v>45</v>
      </c>
    </row>
    <row r="85" spans="1:26" ht="21" customHeight="1">
      <c r="A85" t="s">
        <v>217</v>
      </c>
      <c r="B85" t="s">
        <v>111</v>
      </c>
      <c r="C85">
        <v>84</v>
      </c>
      <c r="D85">
        <v>81</v>
      </c>
      <c r="E85" t="s">
        <v>224</v>
      </c>
      <c r="G85" t="s">
        <v>225</v>
      </c>
      <c r="H85" t="s">
        <v>31</v>
      </c>
      <c r="L85" t="s">
        <v>31</v>
      </c>
      <c r="T85" t="s">
        <v>226</v>
      </c>
    </row>
    <row r="86" spans="1:26" ht="21" customHeight="1">
      <c r="A86" t="s">
        <v>227</v>
      </c>
      <c r="B86" t="s">
        <v>38</v>
      </c>
      <c r="C86">
        <v>85</v>
      </c>
      <c r="D86">
        <v>82</v>
      </c>
      <c r="E86" t="s">
        <v>228</v>
      </c>
      <c r="G86" t="s">
        <v>229</v>
      </c>
      <c r="H86" t="s">
        <v>31</v>
      </c>
      <c r="J86" t="s">
        <v>44</v>
      </c>
      <c r="L86" t="s">
        <v>31</v>
      </c>
      <c r="O86" t="s">
        <v>14</v>
      </c>
    </row>
    <row r="87" spans="1:26" ht="21" customHeight="1">
      <c r="A87" t="s">
        <v>227</v>
      </c>
      <c r="B87" t="s">
        <v>38</v>
      </c>
      <c r="C87">
        <v>86</v>
      </c>
      <c r="D87">
        <v>83</v>
      </c>
      <c r="E87" t="s">
        <v>230</v>
      </c>
      <c r="G87" t="s">
        <v>231</v>
      </c>
      <c r="H87" t="s">
        <v>31</v>
      </c>
      <c r="I87" t="s">
        <v>159</v>
      </c>
      <c r="J87" t="s">
        <v>44</v>
      </c>
      <c r="K87" t="inlineStr">
        <is>
          <t>K-10</t>
        </is>
      </c>
      <c r="L87" t="s">
        <v>31</v>
      </c>
      <c r="M87" t="s">
        <v>45</v>
      </c>
    </row>
    <row r="88" spans="1:26" ht="21" customHeight="1">
      <c r="A88" t="s">
        <v>227</v>
      </c>
      <c r="B88" t="s">
        <v>38</v>
      </c>
      <c r="C88">
        <v>87</v>
      </c>
      <c r="D88">
        <v>84</v>
      </c>
      <c r="E88" t="s">
        <v>232</v>
      </c>
      <c r="G88" t="s">
        <v>233</v>
      </c>
      <c r="H88" t="s">
        <v>31</v>
      </c>
      <c r="I88" t="s">
        <v>157</v>
      </c>
      <c r="J88" t="s">
        <v>44</v>
      </c>
      <c r="K88" t="inlineStr">
        <is>
          <t>K-11</t>
        </is>
      </c>
      <c r="L88" t="s">
        <v>31</v>
      </c>
      <c r="O88" t="s">
        <v>14</v>
      </c>
    </row>
    <row r="89" spans="1:26" ht="21" customHeight="1">
      <c r="A89" t="s">
        <v>227</v>
      </c>
      <c r="B89" t="s">
        <v>111</v>
      </c>
      <c r="C89">
        <v>88</v>
      </c>
      <c r="D89">
        <v>85</v>
      </c>
      <c r="E89" t="s">
        <v>234</v>
      </c>
      <c r="G89" t="s">
        <v>235</v>
      </c>
      <c r="H89" t="s">
        <v>31</v>
      </c>
      <c r="I89" t="s">
        <v>143</v>
      </c>
      <c r="K89" t="inlineStr">
        <is>
          <t>K-12</t>
        </is>
      </c>
      <c r="L89" t="s">
        <v>31</v>
      </c>
    </row>
    <row r="90" spans="1:26" ht="21" customHeight="1">
      <c r="A90" t="s">
        <v>227</v>
      </c>
      <c r="B90" t="s">
        <v>111</v>
      </c>
      <c r="C90">
        <v>89</v>
      </c>
      <c r="D90">
        <v>86</v>
      </c>
      <c r="E90" t="s">
        <v>236</v>
      </c>
      <c r="H90" t="s">
        <v>31</v>
      </c>
      <c r="I90" t="s">
        <v>147</v>
      </c>
      <c r="J90" t="s">
        <v>44</v>
      </c>
      <c r="K90" t="inlineStr">
        <is>
          <t>K-13</t>
        </is>
      </c>
      <c r="L90" t="s">
        <v>31</v>
      </c>
    </row>
    <row r="91" spans="1:26" ht="21" customHeight="1">
      <c r="A91" t="s">
        <v>227</v>
      </c>
      <c r="B91" t="s">
        <v>38</v>
      </c>
      <c r="C91">
        <v>90</v>
      </c>
      <c r="D91">
        <v>87</v>
      </c>
      <c r="E91" t="s">
        <v>237</v>
      </c>
      <c r="G91" t="s">
        <v>238</v>
      </c>
      <c r="H91" t="s">
        <v>31</v>
      </c>
      <c r="I91" t="s">
        <v>138</v>
      </c>
      <c r="J91" t="s">
        <v>44</v>
      </c>
      <c r="K91" t="inlineStr">
        <is>
          <t>K-14</t>
        </is>
      </c>
      <c r="L91" t="s">
        <v>31</v>
      </c>
      <c r="O91" t="s">
        <v>14</v>
      </c>
    </row>
    <row r="92" spans="1:26" ht="21" customHeight="1">
      <c r="A92" t="s">
        <v>227</v>
      </c>
      <c r="B92" t="s">
        <v>111</v>
      </c>
      <c r="C92">
        <v>91</v>
      </c>
      <c r="D92">
        <v>88</v>
      </c>
      <c r="E92" t="s">
        <v>239</v>
      </c>
      <c r="H92" t="s">
        <v>31</v>
      </c>
      <c r="J92" t="s">
        <v>44</v>
      </c>
      <c r="L92" t="s">
        <v>31</v>
      </c>
      <c r="O92" t="s">
        <v>14</v>
      </c>
    </row>
    <row r="93" spans="1:26" ht="21" customHeight="1">
      <c r="A93" t="s">
        <v>240</v>
      </c>
      <c r="B93" t="s">
        <v>34</v>
      </c>
      <c r="C93">
        <v>92</v>
      </c>
      <c r="D93">
        <v>89</v>
      </c>
      <c r="E93" t="s">
        <v>241</v>
      </c>
      <c r="G93" t="s">
        <v>191</v>
      </c>
      <c r="I93" t="s">
        <v>113</v>
      </c>
      <c r="L93" t="s">
        <v>31</v>
      </c>
      <c r="R93" t="s">
        <v>242</v>
      </c>
    </row>
    <row r="94" spans="1:26" ht="21" customHeight="1">
      <c r="A94" t="s">
        <v>240</v>
      </c>
      <c r="B94" t="s">
        <v>68</v>
      </c>
      <c r="C94">
        <v>93</v>
      </c>
      <c r="D94">
        <v>90</v>
      </c>
      <c r="E94" t="s">
        <v>243</v>
      </c>
      <c r="F94" t="s">
        <v>5</v>
      </c>
      <c r="I94" t="s">
        <v>128</v>
      </c>
      <c r="L94" t="s">
        <v>31</v>
      </c>
    </row>
    <row r="95" spans="1:26" ht="21" customHeight="1">
      <c r="A95" t="s">
        <v>240</v>
      </c>
      <c r="B95" t="s">
        <v>38</v>
      </c>
      <c r="C95">
        <v>94</v>
      </c>
      <c r="D95">
        <v>91</v>
      </c>
      <c r="E95" t="s">
        <v>244</v>
      </c>
      <c r="H95" t="s">
        <v>31</v>
      </c>
      <c r="K95" t="inlineStr">
        <is>
          <t>K-26</t>
        </is>
      </c>
    </row>
    <row r="96" spans="1:26" ht="21" customHeight="1">
      <c r="A96" t="s">
        <v>240</v>
      </c>
      <c r="B96" t="s">
        <v>68</v>
      </c>
      <c r="C96">
        <v>95</v>
      </c>
      <c r="D96">
        <v>92</v>
      </c>
      <c r="E96" t="s">
        <v>245</v>
      </c>
      <c r="H96" t="s">
        <v>31</v>
      </c>
      <c r="K96" t="inlineStr">
        <is>
          <t>K-15</t>
        </is>
      </c>
    </row>
    <row r="97" spans="1:26" ht="21" customHeight="1">
      <c r="A97" t="s">
        <v>240</v>
      </c>
      <c r="B97" t="s">
        <v>64</v>
      </c>
      <c r="C97">
        <v>96</v>
      </c>
      <c r="D97">
        <v>93</v>
      </c>
      <c r="E97" t="s">
        <v>246</v>
      </c>
      <c r="I97" t="s">
        <v>133</v>
      </c>
      <c r="L97" t="s">
        <v>31</v>
      </c>
    </row>
    <row r="98" spans="1:26" ht="21" customHeight="1">
      <c r="A98" t="s">
        <v>240</v>
      </c>
      <c r="B98" t="s">
        <v>62</v>
      </c>
      <c r="C98">
        <v>97</v>
      </c>
      <c r="D98">
        <v>94</v>
      </c>
      <c r="E98" t="s">
        <v>247</v>
      </c>
      <c r="F98" t="s">
        <v>5</v>
      </c>
      <c r="G98" t="s">
        <v>248</v>
      </c>
      <c r="K98" t="inlineStr">
        <is>
          <t>K-29</t>
        </is>
      </c>
    </row>
    <row r="99" spans="1:26" ht="21" customHeight="1">
      <c r="A99" t="s">
        <v>240</v>
      </c>
      <c r="B99" t="s">
        <v>89</v>
      </c>
      <c r="C99">
        <v>98</v>
      </c>
      <c r="D99">
        <v>95</v>
      </c>
      <c r="E99" t="s">
        <v>249</v>
      </c>
      <c r="G99" t="s">
        <v>250</v>
      </c>
      <c r="L99" t="s">
        <v>31</v>
      </c>
    </row>
    <row r="100" spans="1:26" ht="21" customHeight="1">
      <c r="A100" t="s">
        <v>240</v>
      </c>
      <c r="B100" t="s">
        <v>111</v>
      </c>
      <c r="C100">
        <v>99</v>
      </c>
      <c r="D100">
        <v>96</v>
      </c>
      <c r="E100" t="s">
        <v>251</v>
      </c>
      <c r="H100" t="s">
        <v>31</v>
      </c>
      <c r="J100" t="s">
        <v>44</v>
      </c>
      <c r="L100" t="s">
        <v>31</v>
      </c>
    </row>
    <row r="101" spans="1:26" ht="21" customHeight="1">
      <c r="A101" t="s">
        <v>240</v>
      </c>
      <c r="B101" t="s">
        <v>94</v>
      </c>
      <c r="C101">
        <v>100</v>
      </c>
      <c r="D101">
        <v>97</v>
      </c>
      <c r="E101" t="s">
        <v>252</v>
      </c>
      <c r="F101" t="s">
        <v>5</v>
      </c>
      <c r="G101" t="s">
        <v>253</v>
      </c>
      <c r="H101" t="s">
        <v>31</v>
      </c>
      <c r="I101" t="s">
        <v>179</v>
      </c>
      <c r="J101" t="s">
        <v>44</v>
      </c>
      <c r="K101" t="inlineStr">
        <is>
          <t>K-16</t>
        </is>
      </c>
      <c r="L101" t="s">
        <v>31</v>
      </c>
      <c r="M101" t="s">
        <v>45</v>
      </c>
      <c r="P101" t="s">
        <v>15</v>
      </c>
    </row>
    <row r="102">
      <c r="A102" t="inlineStr">
        <is>
          <t>小田</t>
        </is>
      </c>
      <c r="B102" t="inlineStr">
        <is>
          <t>マンション</t>
        </is>
      </c>
      <c r="C102">
        <v>101</v>
      </c>
      <c r="D102">
        <v>98</v>
      </c>
      <c r="E102" t="inlineStr">
        <is>
          <t>トゥルーハート</t>
        </is>
      </c>
      <c r="G102" t="inlineStr">
        <is>
          <t>備考欄</t>
        </is>
      </c>
      <c r="I102"/>
      <c r="K102" t="inlineStr">
        <is>
          <t>K-19</t>
        </is>
      </c>
      <c r="R102" t="inlineStr">
        <is>
          <t>090-5616-3265神谷</t>
        </is>
      </c>
    </row>
    <row r="103" spans="1:26" ht="21" customHeight="1">
      <c r="A103" t="s">
        <v>240</v>
      </c>
      <c r="B103" t="s">
        <v>64</v>
      </c>
      <c r="C103">
        <v>102</v>
      </c>
      <c r="D103">
        <v>99</v>
      </c>
      <c r="E103" t="s">
        <v>254</v>
      </c>
      <c r="H103" t="s">
        <v>31</v>
      </c>
      <c r="K103" t="inlineStr">
        <is>
          <t>K-18</t>
        </is>
      </c>
      <c r="R103" t="s">
        <v>255</v>
      </c>
    </row>
    <row r="104" spans="1:26" ht="21" customHeight="1">
      <c r="A104" t="s">
        <v>240</v>
      </c>
      <c r="B104" t="s">
        <v>64</v>
      </c>
      <c r="C104">
        <v>103</v>
      </c>
      <c r="D104">
        <v>100</v>
      </c>
      <c r="E104" t="s">
        <v>256</v>
      </c>
      <c r="G104" t="s">
        <v>191</v>
      </c>
      <c r="H104" t="s">
        <v>31</v>
      </c>
      <c r="K104" t="inlineStr">
        <is>
          <t>K-20</t>
        </is>
      </c>
      <c r="O104" t="s">
        <v>14</v>
      </c>
      <c r="R104" t="s">
        <v>257</v>
      </c>
    </row>
    <row r="105" spans="1:26" ht="21" customHeight="1">
      <c r="A105" t="s">
        <v>240</v>
      </c>
      <c r="B105" t="s">
        <v>64</v>
      </c>
      <c r="C105">
        <v>104</v>
      </c>
      <c r="D105">
        <v>101</v>
      </c>
      <c r="E105" t="s">
        <v>258</v>
      </c>
      <c r="H105" t="s">
        <v>31</v>
      </c>
      <c r="K105" t="inlineStr">
        <is>
          <t>K-21</t>
        </is>
      </c>
    </row>
    <row r="106" spans="1:26" ht="21" customHeight="1">
      <c r="A106" t="s">
        <v>240</v>
      </c>
      <c r="B106" t="s">
        <v>111</v>
      </c>
      <c r="C106">
        <v>105</v>
      </c>
      <c r="D106">
        <v>102</v>
      </c>
      <c r="E106" t="s">
        <v>259</v>
      </c>
      <c r="G106" t="s">
        <v>260</v>
      </c>
      <c r="L106" t="s">
        <v>31</v>
      </c>
      <c r="T106" t="s">
        <v>226</v>
      </c>
    </row>
    <row r="107" spans="1:26" ht="21" customHeight="1">
      <c r="A107" t="s">
        <v>240</v>
      </c>
      <c r="B107" t="s">
        <v>130</v>
      </c>
      <c r="C107">
        <v>106</v>
      </c>
      <c r="D107">
        <v>103</v>
      </c>
      <c r="E107" t="s">
        <v>261</v>
      </c>
      <c r="G107" t="s">
        <v>262</v>
      </c>
      <c r="H107" t="s">
        <v>31</v>
      </c>
      <c r="K107" t="inlineStr">
        <is>
          <t>K-25</t>
        </is>
      </c>
    </row>
    <row r="108" spans="1:26" ht="21" customHeight="1">
      <c r="A108" t="s">
        <v>240</v>
      </c>
      <c r="B108" t="s">
        <v>68</v>
      </c>
      <c r="C108">
        <v>107</v>
      </c>
      <c r="D108">
        <v>104</v>
      </c>
      <c r="E108" t="s">
        <v>263</v>
      </c>
      <c r="G108" t="s">
        <v>264</v>
      </c>
      <c r="H108" t="s">
        <v>31</v>
      </c>
      <c r="I108" t="s">
        <v>31</v>
      </c>
      <c r="J108" t="s">
        <v>44</v>
      </c>
      <c r="K108" t="inlineStr">
        <is>
          <t>K-27</t>
        </is>
      </c>
      <c r="L108" t="s">
        <v>31</v>
      </c>
      <c r="M108" t="s">
        <v>45</v>
      </c>
    </row>
    <row r="109" spans="1:26" ht="21" customHeight="1">
      <c r="A109" t="s">
        <v>240</v>
      </c>
      <c r="B109" t="s">
        <v>68</v>
      </c>
      <c r="C109">
        <v>108</v>
      </c>
      <c r="D109">
        <v>105</v>
      </c>
      <c r="E109" t="s">
        <v>265</v>
      </c>
      <c r="F109" t="s">
        <v>5</v>
      </c>
      <c r="G109" t="s">
        <v>266</v>
      </c>
      <c r="H109" t="s">
        <v>31</v>
      </c>
      <c r="I109" t="s">
        <v>31</v>
      </c>
      <c r="J109" t="s">
        <v>44</v>
      </c>
      <c r="K109" t="inlineStr">
        <is>
          <t>K-28</t>
        </is>
      </c>
      <c r="L109" t="s">
        <v>31</v>
      </c>
      <c r="M109" t="s">
        <v>45</v>
      </c>
    </row>
    <row r="110" spans="1:26" ht="21" customHeight="1">
      <c r="A110" t="s">
        <v>240</v>
      </c>
      <c r="B110" t="s">
        <v>130</v>
      </c>
      <c r="C110">
        <v>109</v>
      </c>
      <c r="D110">
        <v>106</v>
      </c>
      <c r="E110" t="s">
        <v>267</v>
      </c>
      <c r="G110" t="s">
        <v>268</v>
      </c>
      <c r="H110" t="s">
        <v>106</v>
      </c>
      <c r="K110" t="s">
        <v>269</v>
      </c>
    </row>
    <row r="111" spans="1:26" ht="21" customHeight="1">
      <c r="A111" t="s">
        <v>240</v>
      </c>
      <c r="B111" t="s">
        <v>34</v>
      </c>
      <c r="C111">
        <v>110</v>
      </c>
      <c r="D111">
        <v>107</v>
      </c>
      <c r="E111" t="s">
        <v>270</v>
      </c>
      <c r="G111" t="s">
        <v>271</v>
      </c>
      <c r="H111" t="s">
        <v>106</v>
      </c>
      <c r="K111" t="s">
        <v>272</v>
      </c>
      <c r="O111" t="s">
        <v>14</v>
      </c>
      <c r="T111" t="s">
        <v>129</v>
      </c>
    </row>
    <row r="112" spans="1:26" ht="21" customHeight="1">
      <c r="A112" t="s">
        <v>240</v>
      </c>
      <c r="B112" t="s">
        <v>64</v>
      </c>
      <c r="C112">
        <v>111</v>
      </c>
      <c r="D112">
        <v>108</v>
      </c>
      <c r="E112" t="s">
        <v>273</v>
      </c>
      <c r="H112" t="s">
        <v>31</v>
      </c>
      <c r="K112" t="inlineStr">
        <is>
          <t>K-17</t>
        </is>
      </c>
    </row>
    <row r="113" spans="1:26" ht="21" customHeight="1">
      <c r="A113" t="s">
        <v>274</v>
      </c>
      <c r="B113" t="s">
        <v>38</v>
      </c>
      <c r="C113">
        <v>112</v>
      </c>
      <c r="D113">
        <v>109</v>
      </c>
      <c r="E113" t="s">
        <v>275</v>
      </c>
      <c r="F113" t="s">
        <v>5</v>
      </c>
      <c r="G113" t="s">
        <v>191</v>
      </c>
      <c r="H113" t="s">
        <v>106</v>
      </c>
      <c r="I113" t="s">
        <v>276</v>
      </c>
      <c r="J113" t="s">
        <v>44</v>
      </c>
      <c r="K113" t="s">
        <v>277</v>
      </c>
      <c r="L113" t="s">
        <v>209</v>
      </c>
      <c r="M113" t="s">
        <v>45</v>
      </c>
      <c r="O113" t="s">
        <v>14</v>
      </c>
      <c r="R113" t="s">
        <v>278</v>
      </c>
    </row>
    <row r="114" spans="1:26" ht="21" customHeight="1">
      <c r="A114" t="s">
        <v>274</v>
      </c>
      <c r="B114" t="s">
        <v>38</v>
      </c>
      <c r="C114">
        <v>113</v>
      </c>
      <c r="D114">
        <v>110</v>
      </c>
      <c r="E114" t="s">
        <v>279</v>
      </c>
      <c r="G114" t="s">
        <v>280</v>
      </c>
      <c r="H114" t="s">
        <v>44</v>
      </c>
      <c r="J114" t="s">
        <v>44</v>
      </c>
      <c r="L114" t="s">
        <v>216</v>
      </c>
      <c r="O114" t="s">
        <v>14</v>
      </c>
    </row>
    <row r="115" spans="1:25" ht="21" customHeight="1">
      <c r="A115" t="s">
        <v>274</v>
      </c>
      <c r="B115" t="s">
        <v>111</v>
      </c>
      <c r="C115">
        <v>114</v>
      </c>
      <c r="D115">
        <v>111</v>
      </c>
      <c r="E115" t="s">
        <v>281</v>
      </c>
      <c r="F115" t="s">
        <v>5</v>
      </c>
      <c r="G115" t="s">
        <v>282</v>
      </c>
      <c r="H115" t="s">
        <v>106</v>
      </c>
      <c r="I115" t="s">
        <v>277</v>
      </c>
      <c r="J115" t="s">
        <v>44</v>
      </c>
      <c r="K115" t="s">
        <v>276</v>
      </c>
      <c r="L115" t="s">
        <v>212</v>
      </c>
      <c r="O115" t="s">
        <v>14</v>
      </c>
    </row>
    <row r="116" spans="1:25" ht="21" customHeight="1">
      <c r="A116" t="s">
        <v>274</v>
      </c>
      <c r="B116" t="s">
        <v>64</v>
      </c>
      <c r="C116">
        <v>115</v>
      </c>
      <c r="D116">
        <v>112</v>
      </c>
      <c r="E116" t="s">
        <v>283</v>
      </c>
      <c r="I116" t="s">
        <v>272</v>
      </c>
      <c r="L116" t="s">
        <v>107</v>
      </c>
    </row>
    <row r="117" spans="1:25" ht="21" customHeight="1">
      <c r="A117" t="s">
        <v>274</v>
      </c>
      <c r="B117" t="s">
        <v>64</v>
      </c>
      <c r="C117">
        <v>116</v>
      </c>
      <c r="D117">
        <v>113</v>
      </c>
      <c r="E117" t="s">
        <v>284</v>
      </c>
      <c r="J117" t="s">
        <v>44</v>
      </c>
      <c r="O117" t="s">
        <v>14</v>
      </c>
    </row>
    <row r="118" spans="1:25" ht="21" customHeight="1">
      <c r="A118" t="s">
        <v>274</v>
      </c>
      <c r="B118" t="s">
        <v>62</v>
      </c>
      <c r="C118">
        <v>117</v>
      </c>
      <c r="D118">
        <v>114</v>
      </c>
      <c r="E118" t="s">
        <v>285</v>
      </c>
      <c r="G118" t="s">
        <v>286</v>
      </c>
      <c r="I118" t="s">
        <v>269</v>
      </c>
      <c r="L118" t="s">
        <v>119</v>
      </c>
    </row>
    <row r="119" spans="1:25" ht="21" customHeight="1">
      <c r="A119" t="s">
        <v>274</v>
      </c>
      <c r="B119" t="s">
        <v>34</v>
      </c>
      <c r="C119">
        <v>118</v>
      </c>
      <c r="D119">
        <v>115</v>
      </c>
      <c r="E119" t="s">
        <v>287</v>
      </c>
      <c r="G119" t="s">
        <v>288</v>
      </c>
      <c r="L119" t="s">
        <v>113</v>
      </c>
    </row>
    <row r="120" spans="1:25" ht="21" customHeight="1">
      <c r="A120" t="s">
        <v>274</v>
      </c>
      <c r="B120" t="s">
        <v>27</v>
      </c>
      <c r="C120">
        <v>119</v>
      </c>
      <c r="D120">
        <v>291</v>
      </c>
      <c r="E120" t="s">
        <v>289</v>
      </c>
      <c r="I120" t="s">
        <v>290</v>
      </c>
      <c r="L120" t="s">
        <v>128</v>
      </c>
    </row>
    <row r="121" spans="1:25" ht="21" customHeight="1">
      <c r="A121" t="s">
        <v>274</v>
      </c>
      <c r="B121" t="s">
        <v>62</v>
      </c>
      <c r="C121">
        <v>120</v>
      </c>
      <c r="D121">
        <v>117</v>
      </c>
      <c r="E121" t="s">
        <v>291</v>
      </c>
      <c r="G121" t="s">
        <v>292</v>
      </c>
      <c r="H121" t="s">
        <v>106</v>
      </c>
      <c r="J121" t="s">
        <v>44</v>
      </c>
      <c r="L121" t="s">
        <v>133</v>
      </c>
      <c r="O121" t="s">
        <v>14</v>
      </c>
    </row>
    <row r="122" spans="1:25" ht="21" customHeight="1">
      <c r="A122" t="s">
        <v>274</v>
      </c>
      <c r="B122" t="s">
        <v>38</v>
      </c>
      <c r="C122">
        <v>121</v>
      </c>
      <c r="D122">
        <v>118</v>
      </c>
      <c r="E122" t="s">
        <v>293</v>
      </c>
      <c r="G122" t="s">
        <v>294</v>
      </c>
      <c r="H122" t="s">
        <v>106</v>
      </c>
      <c r="J122" t="s">
        <v>44</v>
      </c>
      <c r="L122" t="s">
        <v>138</v>
      </c>
      <c r="T122" t="s">
        <v>295</v>
      </c>
    </row>
    <row r="123" spans="1:25" ht="21" customHeight="1">
      <c r="A123" t="s">
        <v>274</v>
      </c>
      <c r="B123" t="s">
        <v>130</v>
      </c>
      <c r="C123">
        <v>122</v>
      </c>
      <c r="D123">
        <v>119</v>
      </c>
      <c r="E123" t="s">
        <v>296</v>
      </c>
      <c r="G123" t="s">
        <v>297</v>
      </c>
      <c r="I123" t="s">
        <v>298</v>
      </c>
      <c r="L123" t="s">
        <v>159</v>
      </c>
    </row>
    <row r="124" spans="1:25" ht="21" customHeight="1">
      <c r="A124" t="s">
        <v>274</v>
      </c>
      <c r="B124" t="s">
        <v>64</v>
      </c>
      <c r="C124">
        <v>123</v>
      </c>
      <c r="D124">
        <v>120</v>
      </c>
      <c r="E124" t="s">
        <v>299</v>
      </c>
      <c r="I124" t="s">
        <v>300</v>
      </c>
      <c r="L124" t="s">
        <v>157</v>
      </c>
    </row>
    <row r="125" spans="1:25" ht="21" customHeight="1">
      <c r="A125" t="s">
        <v>274</v>
      </c>
      <c r="B125" t="s">
        <v>64</v>
      </c>
      <c r="C125">
        <v>124</v>
      </c>
      <c r="D125">
        <v>121</v>
      </c>
      <c r="E125" t="s">
        <v>301</v>
      </c>
      <c r="I125" t="s">
        <v>302</v>
      </c>
      <c r="L125" t="s">
        <v>143</v>
      </c>
    </row>
    <row r="126" spans="1:25" ht="21" customHeight="1">
      <c r="A126" t="s">
        <v>274</v>
      </c>
      <c r="B126" t="s">
        <v>38</v>
      </c>
      <c r="C126">
        <v>125</v>
      </c>
      <c r="D126">
        <v>122</v>
      </c>
      <c r="E126" t="s">
        <v>303</v>
      </c>
      <c r="G126" t="s">
        <v>304</v>
      </c>
      <c r="H126" t="s">
        <v>106</v>
      </c>
      <c r="J126" t="s">
        <v>44</v>
      </c>
      <c r="L126" t="s">
        <v>147</v>
      </c>
      <c r="O126" t="s">
        <v>14</v>
      </c>
    </row>
    <row r="127" spans="1:25" ht="21" customHeight="1">
      <c r="A127" t="s">
        <v>274</v>
      </c>
      <c r="B127" t="s">
        <v>64</v>
      </c>
      <c r="C127">
        <v>126</v>
      </c>
      <c r="D127">
        <v>123</v>
      </c>
      <c r="E127" t="s">
        <v>305</v>
      </c>
      <c r="H127" t="s">
        <v>106</v>
      </c>
      <c r="K127" t="s">
        <v>300</v>
      </c>
    </row>
    <row r="128" spans="1:25" ht="21" customHeight="1">
      <c r="A128" t="s">
        <v>274</v>
      </c>
      <c r="B128" t="s">
        <v>64</v>
      </c>
      <c r="C128">
        <v>127</v>
      </c>
      <c r="D128">
        <v>124</v>
      </c>
      <c r="E128" t="s">
        <v>306</v>
      </c>
      <c r="H128" t="s">
        <v>106</v>
      </c>
      <c r="K128" t="s">
        <v>298</v>
      </c>
    </row>
    <row r="129" spans="1:25" ht="21" customHeight="1">
      <c r="A129" t="s">
        <v>274</v>
      </c>
      <c r="B129" t="s">
        <v>64</v>
      </c>
      <c r="C129">
        <v>128</v>
      </c>
      <c r="D129">
        <v>125</v>
      </c>
      <c r="E129" t="s">
        <v>307</v>
      </c>
      <c r="H129" t="s">
        <v>106</v>
      </c>
      <c r="K129" t="s">
        <v>290</v>
      </c>
      <c r="R129" t="s">
        <v>308</v>
      </c>
    </row>
    <row r="130" spans="1:25" ht="21" customHeight="1">
      <c r="A130" t="s">
        <v>274</v>
      </c>
      <c r="B130" t="s">
        <v>64</v>
      </c>
      <c r="C130">
        <v>129</v>
      </c>
      <c r="D130">
        <v>126</v>
      </c>
      <c r="E130" t="s">
        <v>309</v>
      </c>
      <c r="G130" t="s">
        <v>191</v>
      </c>
      <c r="H130" t="s">
        <v>106</v>
      </c>
      <c r="K130" t="s">
        <v>302</v>
      </c>
      <c r="O130" t="s">
        <v>14</v>
      </c>
      <c r="R130" t="s">
        <v>193</v>
      </c>
    </row>
    <row r="131" spans="1:26" ht="21" customHeight="1">
      <c r="A131" t="s">
        <v>274</v>
      </c>
      <c r="B131" t="s">
        <v>38</v>
      </c>
      <c r="C131">
        <v>130</v>
      </c>
      <c r="D131">
        <v>127</v>
      </c>
      <c r="E131" t="s">
        <v>310</v>
      </c>
      <c r="F131" t="s">
        <v>5</v>
      </c>
      <c r="G131" t="s">
        <v>311</v>
      </c>
      <c r="H131" t="s">
        <v>106</v>
      </c>
      <c r="I131" t="s">
        <v>312</v>
      </c>
      <c r="J131" t="s">
        <v>44</v>
      </c>
      <c r="K131" t="s">
        <v>312</v>
      </c>
      <c r="L131" t="s">
        <v>179</v>
      </c>
      <c r="M131" t="s">
        <v>45</v>
      </c>
    </row>
    <row r="132" spans="1:26" ht="21" customHeight="1">
      <c r="A132" t="s">
        <v>274</v>
      </c>
      <c r="B132" t="s">
        <v>64</v>
      </c>
      <c r="C132">
        <v>131</v>
      </c>
      <c r="D132">
        <v>128</v>
      </c>
      <c r="E132" t="s">
        <v>313</v>
      </c>
      <c r="H132" t="s">
        <v>106</v>
      </c>
      <c r="K132" t="s">
        <v>314</v>
      </c>
    </row>
    <row r="133" spans="1:26" ht="21" customHeight="1">
      <c r="A133" t="s">
        <v>274</v>
      </c>
      <c r="B133" t="s">
        <v>130</v>
      </c>
      <c r="C133">
        <v>132</v>
      </c>
      <c r="D133">
        <v>129</v>
      </c>
      <c r="E133" t="s">
        <v>315</v>
      </c>
      <c r="G133" t="s">
        <v>316</v>
      </c>
      <c r="K133" t="s">
        <v>317</v>
      </c>
    </row>
    <row r="134" spans="1:26" ht="21" customHeight="1">
      <c r="A134" t="s">
        <v>274</v>
      </c>
      <c r="B134" t="s">
        <v>38</v>
      </c>
      <c r="C134">
        <v>133</v>
      </c>
      <c r="D134">
        <v>130</v>
      </c>
      <c r="E134" t="s">
        <v>318</v>
      </c>
      <c r="K134" t="s">
        <v>319</v>
      </c>
    </row>
    <row r="135" spans="1:26" ht="21" customHeight="1">
      <c r="A135" t="s">
        <v>274</v>
      </c>
      <c r="B135" t="s">
        <v>94</v>
      </c>
      <c r="C135">
        <v>134</v>
      </c>
      <c r="D135">
        <v>131</v>
      </c>
      <c r="E135" t="s">
        <v>320</v>
      </c>
      <c r="F135" t="s">
        <v>5</v>
      </c>
      <c r="H135" t="s">
        <v>106</v>
      </c>
      <c r="I135" t="s">
        <v>321</v>
      </c>
      <c r="K135" t="s">
        <v>322</v>
      </c>
      <c r="L135" t="s">
        <v>276</v>
      </c>
      <c r="M135" t="s">
        <v>45</v>
      </c>
      <c r="P135" t="s">
        <v>15</v>
      </c>
    </row>
    <row r="136" spans="1:26" ht="21" customHeight="1">
      <c r="A136" t="s">
        <v>274</v>
      </c>
      <c r="B136" t="s">
        <v>64</v>
      </c>
      <c r="C136">
        <v>135</v>
      </c>
      <c r="D136">
        <v>132</v>
      </c>
      <c r="E136" t="inlineStr">
        <is>
          <t>M-CROSS服部町</t>
        </is>
      </c>
      <c r="H136" t="s">
        <v>106</v>
      </c>
      <c r="K136" t="s">
        <v>324</v>
      </c>
    </row>
    <row r="137" spans="1:26" ht="21" customHeight="1">
      <c r="A137" t="s">
        <v>274</v>
      </c>
      <c r="B137" t="s">
        <v>64</v>
      </c>
      <c r="C137">
        <v>136</v>
      </c>
      <c r="D137">
        <v>133</v>
      </c>
      <c r="E137" t="s">
        <v>325</v>
      </c>
      <c r="G137" t="s">
        <v>326</v>
      </c>
      <c r="H137" t="s">
        <v>106</v>
      </c>
      <c r="K137" t="s">
        <v>327</v>
      </c>
    </row>
    <row r="138" spans="1:26" ht="21" customHeight="1">
      <c r="A138" t="s">
        <v>274</v>
      </c>
      <c r="B138" t="s">
        <v>64</v>
      </c>
      <c r="C138">
        <v>137</v>
      </c>
      <c r="D138">
        <v>134</v>
      </c>
      <c r="E138" t="s">
        <v>328</v>
      </c>
      <c r="H138" t="s">
        <v>106</v>
      </c>
      <c r="K138" t="s">
        <v>329</v>
      </c>
    </row>
    <row r="139" spans="1:26" ht="21" customHeight="1">
      <c r="A139" t="s">
        <v>274</v>
      </c>
      <c r="B139" t="s">
        <v>89</v>
      </c>
      <c r="C139">
        <v>138</v>
      </c>
      <c r="D139">
        <v>135</v>
      </c>
      <c r="E139" t="s">
        <v>330</v>
      </c>
      <c r="G139" t="s">
        <v>331</v>
      </c>
      <c r="I139" t="s">
        <v>322</v>
      </c>
      <c r="L139" t="s">
        <v>277</v>
      </c>
    </row>
    <row r="140" spans="1:26" ht="21" customHeight="1">
      <c r="A140" t="s">
        <v>274</v>
      </c>
      <c r="B140" t="s">
        <v>64</v>
      </c>
      <c r="C140">
        <v>139</v>
      </c>
      <c r="D140">
        <v>136</v>
      </c>
      <c r="E140" t="s">
        <v>332</v>
      </c>
      <c r="H140" t="s">
        <v>106</v>
      </c>
      <c r="K140" t="s">
        <v>333</v>
      </c>
    </row>
    <row r="141" spans="1:26" ht="21" customHeight="1">
      <c r="A141" t="s">
        <v>274</v>
      </c>
      <c r="B141" t="s">
        <v>86</v>
      </c>
      <c r="C141">
        <v>140</v>
      </c>
      <c r="D141">
        <v>137</v>
      </c>
      <c r="E141" t="s">
        <v>334</v>
      </c>
      <c r="F141" t="s">
        <v>5</v>
      </c>
      <c r="G141" t="s">
        <v>335</v>
      </c>
      <c r="I141" t="s">
        <v>327</v>
      </c>
      <c r="L141" t="s">
        <v>272</v>
      </c>
      <c r="O141" t="s">
        <v>14</v>
      </c>
    </row>
    <row r="142" spans="1:26" ht="21" customHeight="1">
      <c r="A142" t="s">
        <v>274</v>
      </c>
      <c r="B142" t="s">
        <v>64</v>
      </c>
      <c r="C142">
        <v>141</v>
      </c>
      <c r="D142">
        <v>138</v>
      </c>
      <c r="E142" t="s">
        <v>336</v>
      </c>
      <c r="H142" t="s">
        <v>106</v>
      </c>
      <c r="K142" t="s">
        <v>321</v>
      </c>
    </row>
    <row r="143" spans="1:26" ht="21" customHeight="1">
      <c r="A143" t="s">
        <v>274</v>
      </c>
      <c r="B143" t="s">
        <v>111</v>
      </c>
      <c r="C143">
        <v>142</v>
      </c>
      <c r="D143">
        <v>139</v>
      </c>
      <c r="E143" t="s">
        <v>337</v>
      </c>
      <c r="F143" t="s">
        <v>5</v>
      </c>
      <c r="G143" t="s">
        <v>338</v>
      </c>
      <c r="H143" t="s">
        <v>106</v>
      </c>
      <c r="J143" t="s">
        <v>44</v>
      </c>
      <c r="L143" t="s">
        <v>269</v>
      </c>
      <c r="O143" t="s">
        <v>14</v>
      </c>
    </row>
    <row r="144" spans="1:26" ht="21" customHeight="1">
      <c r="A144" t="s">
        <v>339</v>
      </c>
      <c r="B144" t="s">
        <v>34</v>
      </c>
      <c r="C144">
        <v>143</v>
      </c>
      <c r="D144">
        <v>140</v>
      </c>
      <c r="E144" t="s">
        <v>340</v>
      </c>
      <c r="G144" t="s">
        <v>341</v>
      </c>
      <c r="K144" t="s">
        <v>342</v>
      </c>
      <c r="O144" t="s">
        <v>14</v>
      </c>
      <c r="T144" t="s">
        <v>129</v>
      </c>
    </row>
    <row r="145" spans="1:26" ht="21" customHeight="1">
      <c r="A145" t="s">
        <v>339</v>
      </c>
      <c r="B145" t="s">
        <v>34</v>
      </c>
      <c r="C145">
        <v>144</v>
      </c>
      <c r="D145">
        <v>141</v>
      </c>
      <c r="E145" t="s">
        <v>343</v>
      </c>
      <c r="G145" t="s">
        <v>344</v>
      </c>
      <c r="H145" t="s">
        <v>106</v>
      </c>
      <c r="K145" t="s">
        <v>345</v>
      </c>
      <c r="O145" t="s">
        <v>14</v>
      </c>
    </row>
    <row r="146" spans="1:26" ht="21" customHeight="1">
      <c r="A146" t="s">
        <v>339</v>
      </c>
      <c r="B146" t="s">
        <v>62</v>
      </c>
      <c r="C146">
        <v>145</v>
      </c>
      <c r="D146">
        <v>142</v>
      </c>
      <c r="E146" t="s">
        <v>346</v>
      </c>
      <c r="F146" t="s">
        <v>5</v>
      </c>
      <c r="G146" t="s">
        <v>347</v>
      </c>
      <c r="J146" t="inlineStr">
        <is>
          <t>K-</t>
        </is>
      </c>
      <c r="R146" t="s">
        <v>348</v>
      </c>
    </row>
    <row r="147" spans="1:26" ht="21" customHeight="1">
      <c r="A147" t="s">
        <v>349</v>
      </c>
      <c r="B147" t="s">
        <v>64</v>
      </c>
      <c r="C147">
        <v>146</v>
      </c>
      <c r="D147">
        <v>143</v>
      </c>
      <c r="E147" t="s">
        <v>350</v>
      </c>
      <c r="I147" t="s">
        <v>329</v>
      </c>
      <c r="L147" t="s">
        <v>290</v>
      </c>
    </row>
    <row r="148" spans="1:26" ht="21" customHeight="1">
      <c r="A148" t="s">
        <v>349</v>
      </c>
      <c r="B148" t="s">
        <v>62</v>
      </c>
      <c r="C148">
        <v>147</v>
      </c>
      <c r="D148">
        <v>144</v>
      </c>
      <c r="E148" t="s">
        <v>351</v>
      </c>
      <c r="L148" t="s">
        <v>298</v>
      </c>
    </row>
    <row r="149" spans="1:26" ht="21" customHeight="1">
      <c r="A149" t="s">
        <v>349</v>
      </c>
      <c r="B149" t="s">
        <v>64</v>
      </c>
      <c r="C149">
        <v>148</v>
      </c>
      <c r="D149">
        <v>145</v>
      </c>
      <c r="E149" t="s">
        <v>352</v>
      </c>
      <c r="G149" t="s">
        <v>353</v>
      </c>
      <c r="H149" t="s">
        <v>106</v>
      </c>
      <c r="K149" t="s">
        <v>354</v>
      </c>
      <c r="O149" t="s">
        <v>14</v>
      </c>
    </row>
    <row r="150" spans="1:26" ht="21" customHeight="1">
      <c r="A150" t="s">
        <v>349</v>
      </c>
      <c r="B150" t="s">
        <v>89</v>
      </c>
      <c r="C150">
        <v>149</v>
      </c>
      <c r="D150">
        <v>146</v>
      </c>
      <c r="E150" t="s">
        <v>355</v>
      </c>
      <c r="G150" t="s">
        <v>356</v>
      </c>
      <c r="I150" t="inlineStr">
        <is>
          <t>N-39</t>
        </is>
      </c>
      <c r="L150" t="s">
        <v>321</v>
      </c>
    </row>
    <row r="151" spans="1:26" ht="21" customHeight="1">
      <c r="A151" t="s">
        <v>349</v>
      </c>
      <c r="B151" t="s">
        <v>89</v>
      </c>
      <c r="C151">
        <v>150</v>
      </c>
      <c r="D151">
        <v>147</v>
      </c>
      <c r="E151" t="s">
        <v>357</v>
      </c>
      <c r="G151" t="s">
        <v>358</v>
      </c>
      <c r="I151" t="inlineStr">
        <is>
          <t>N-40</t>
        </is>
      </c>
    </row>
    <row r="152" spans="1:26" ht="21" customHeight="1">
      <c r="A152" t="s">
        <v>349</v>
      </c>
      <c r="B152" t="s">
        <v>34</v>
      </c>
      <c r="C152">
        <v>151</v>
      </c>
      <c r="D152">
        <v>148</v>
      </c>
      <c r="E152" t="s">
        <v>359</v>
      </c>
      <c r="G152" t="s">
        <v>360</v>
      </c>
      <c r="I152" t="inlineStr">
        <is>
          <t>N-38</t>
        </is>
      </c>
      <c r="L152" t="s">
        <v>312</v>
      </c>
    </row>
    <row r="153" spans="1:26" ht="21" customHeight="1">
      <c r="A153" t="s">
        <v>349</v>
      </c>
      <c r="B153" t="s">
        <v>64</v>
      </c>
      <c r="C153">
        <v>152</v>
      </c>
      <c r="D153">
        <v>149</v>
      </c>
      <c r="E153" t="s">
        <v>361</v>
      </c>
      <c r="H153" t="s">
        <v>106</v>
      </c>
      <c r="K153" t="s">
        <v>362</v>
      </c>
    </row>
    <row r="154" spans="1:26" ht="21" customHeight="1">
      <c r="A154" t="s">
        <v>349</v>
      </c>
      <c r="B154" t="s">
        <v>38</v>
      </c>
      <c r="C154">
        <v>153</v>
      </c>
      <c r="D154">
        <v>150</v>
      </c>
      <c r="E154" t="s">
        <v>363</v>
      </c>
      <c r="F154" t="s">
        <v>5</v>
      </c>
      <c r="G154" t="s">
        <v>364</v>
      </c>
      <c r="H154" t="s">
        <v>106</v>
      </c>
      <c r="I154" t="s">
        <v>319</v>
      </c>
      <c r="J154" t="s">
        <v>44</v>
      </c>
      <c r="K154" t="s">
        <v>365</v>
      </c>
      <c r="L154" t="s">
        <v>302</v>
      </c>
      <c r="M154" t="s">
        <v>45</v>
      </c>
    </row>
    <row r="155" spans="1:26" ht="21" customHeight="1">
      <c r="A155" t="inlineStr">
        <is>
          <t>府中</t>
        </is>
      </c>
      <c r="B155" t="inlineStr">
        <is>
          <t>会社　商店</t>
        </is>
      </c>
      <c r="C155">
        <v>154</v>
      </c>
      <c r="D155">
        <v>293</v>
      </c>
      <c r="E155" t="inlineStr">
        <is>
          <t>K-FORCE</t>
        </is>
      </c>
      <c r="G155"/>
      <c r="H155"/>
      <c r="I155" t="inlineStr">
        <is>
          <t>N-37</t>
        </is>
      </c>
      <c r="J155"/>
      <c r="L155"/>
    </row>
    <row r="156" spans="1:26" ht="21" customHeight="1">
      <c r="A156" t="s">
        <v>349</v>
      </c>
      <c r="B156" t="s">
        <v>111</v>
      </c>
      <c r="C156">
        <v>155</v>
      </c>
      <c r="D156">
        <v>151</v>
      </c>
      <c r="E156" t="s">
        <v>366</v>
      </c>
      <c r="G156" t="s">
        <v>367</v>
      </c>
      <c r="H156" t="s">
        <v>106</v>
      </c>
      <c r="J156" t="s">
        <v>44</v>
      </c>
      <c r="L156" t="s">
        <v>300</v>
      </c>
    </row>
    <row r="157" spans="1:26" ht="21" customHeight="1">
      <c r="A157" t="s">
        <v>349</v>
      </c>
      <c r="B157" t="s">
        <v>64</v>
      </c>
      <c r="C157">
        <v>156</v>
      </c>
      <c r="D157">
        <v>152</v>
      </c>
      <c r="E157" t="s">
        <v>368</v>
      </c>
      <c r="K157" t="s">
        <v>369</v>
      </c>
    </row>
    <row r="158" spans="1:26" ht="21" customHeight="1">
      <c r="A158" t="s">
        <v>370</v>
      </c>
      <c r="B158" t="s">
        <v>62</v>
      </c>
      <c r="C158">
        <v>157</v>
      </c>
      <c r="D158">
        <v>153</v>
      </c>
      <c r="E158" t="s">
        <v>371</v>
      </c>
      <c r="G158" t="s">
        <v>372</v>
      </c>
      <c r="H158" t="s">
        <v>106</v>
      </c>
      <c r="K158" t="s">
        <v>373</v>
      </c>
    </row>
    <row r="159" spans="1:26" ht="21" customHeight="1">
      <c r="A159" t="s">
        <v>370</v>
      </c>
      <c r="B159" t="s">
        <v>62</v>
      </c>
      <c r="C159">
        <v>158</v>
      </c>
      <c r="D159">
        <v>154</v>
      </c>
      <c r="E159" t="s">
        <v>374</v>
      </c>
      <c r="L159" t="s">
        <v>322</v>
      </c>
    </row>
    <row r="160" spans="1:26" ht="21" customHeight="1">
      <c r="A160" t="s">
        <v>370</v>
      </c>
      <c r="B160" t="s">
        <v>86</v>
      </c>
      <c r="C160">
        <v>159</v>
      </c>
      <c r="D160">
        <v>155</v>
      </c>
      <c r="E160" t="s">
        <v>375</v>
      </c>
      <c r="F160" t="s">
        <v>5</v>
      </c>
      <c r="H160" t="s">
        <v>106</v>
      </c>
      <c r="I160" t="inlineStr">
        <is>
          <t>N-41</t>
        </is>
      </c>
      <c r="J160" t="s">
        <v>44</v>
      </c>
      <c r="K160" t="s">
        <v>376</v>
      </c>
      <c r="L160" t="s">
        <v>327</v>
      </c>
      <c r="O160" t="s">
        <v>14</v>
      </c>
    </row>
    <row r="161" spans="1:26" ht="21" customHeight="1">
      <c r="A161" t="s">
        <v>370</v>
      </c>
      <c r="B161" t="s">
        <v>94</v>
      </c>
      <c r="C161">
        <v>160</v>
      </c>
      <c r="D161">
        <v>156</v>
      </c>
      <c r="E161" t="s">
        <v>377</v>
      </c>
      <c r="F161" t="s">
        <v>5</v>
      </c>
      <c r="H161" t="s">
        <v>106</v>
      </c>
      <c r="I161" t="inlineStr">
        <is>
          <t>N-42</t>
        </is>
      </c>
      <c r="J161" t="s">
        <v>44</v>
      </c>
      <c r="K161" t="s">
        <v>378</v>
      </c>
      <c r="L161" t="s">
        <v>329</v>
      </c>
      <c r="M161" t="s">
        <v>379</v>
      </c>
      <c r="P161" t="s">
        <v>15</v>
      </c>
    </row>
    <row r="162" spans="1:26" ht="21" customHeight="1">
      <c r="A162" t="s">
        <v>370</v>
      </c>
      <c r="B162" t="s">
        <v>62</v>
      </c>
      <c r="C162">
        <v>161</v>
      </c>
      <c r="D162">
        <v>157</v>
      </c>
      <c r="E162" t="s">
        <v>380</v>
      </c>
      <c r="G162" t="s">
        <v>381</v>
      </c>
      <c r="K162" t="s">
        <v>382</v>
      </c>
      <c r="T162" t="s">
        <v>383</v>
      </c>
    </row>
    <row r="163" spans="1:26" ht="21" customHeight="1">
      <c r="A163" t="s">
        <v>370</v>
      </c>
      <c r="B163" t="s">
        <v>62</v>
      </c>
      <c r="C163">
        <v>162</v>
      </c>
      <c r="D163">
        <v>158</v>
      </c>
      <c r="E163" t="s">
        <v>384</v>
      </c>
      <c r="G163" t="s">
        <v>385</v>
      </c>
      <c r="I163" t="inlineStr">
        <is>
          <t>N-43</t>
        </is>
      </c>
      <c r="L163" t="s">
        <v>319</v>
      </c>
      <c r="R163" t="s">
        <v>386</v>
      </c>
    </row>
    <row r="164" spans="1:26" ht="21" customHeight="1">
      <c r="A164" t="s">
        <v>370</v>
      </c>
      <c r="B164" t="s">
        <v>64</v>
      </c>
      <c r="C164">
        <v>163</v>
      </c>
      <c r="D164">
        <v>289</v>
      </c>
      <c r="E164" t="s">
        <v>419</v>
      </c>
      <c r="L164" t="s">
        <v>314</v>
      </c>
    </row>
    <row r="165" spans="1:26" ht="21" customHeight="1">
      <c r="A165" t="s">
        <v>370</v>
      </c>
      <c r="B165" t="s">
        <v>64</v>
      </c>
      <c r="C165">
        <v>164</v>
      </c>
      <c r="D165">
        <v>159</v>
      </c>
      <c r="E165" t="s">
        <v>387</v>
      </c>
      <c r="H165" t="s">
        <v>106</v>
      </c>
      <c r="K165" t="s">
        <v>388</v>
      </c>
      <c r="O165" t="s">
        <v>14</v>
      </c>
    </row>
    <row r="166" spans="1:26" ht="21" customHeight="1">
      <c r="A166" t="s">
        <v>370</v>
      </c>
      <c r="B166" t="s">
        <v>89</v>
      </c>
      <c r="C166">
        <v>165</v>
      </c>
      <c r="D166">
        <v>160</v>
      </c>
      <c r="E166" t="s">
        <v>389</v>
      </c>
      <c r="G166" t="s">
        <v>390</v>
      </c>
      <c r="L166" t="s">
        <v>317</v>
      </c>
    </row>
    <row r="167" spans="1:26" ht="21" customHeight="1">
      <c r="A167" t="s">
        <v>370</v>
      </c>
      <c r="B167" t="s">
        <v>64</v>
      </c>
      <c r="C167">
        <v>166</v>
      </c>
      <c r="D167">
        <v>161</v>
      </c>
      <c r="E167" t="s">
        <v>391</v>
      </c>
      <c r="H167" t="s">
        <v>106</v>
      </c>
      <c r="L167" t="s">
        <v>324</v>
      </c>
    </row>
    <row r="168" spans="1:26" ht="21" customHeight="1">
      <c r="A168" t="s">
        <v>370</v>
      </c>
      <c r="B168" t="s">
        <v>62</v>
      </c>
      <c r="C168">
        <v>167</v>
      </c>
      <c r="D168">
        <v>162</v>
      </c>
      <c r="E168" t="s">
        <v>392</v>
      </c>
      <c r="L168" t="s">
        <v>333</v>
      </c>
    </row>
    <row r="169" spans="1:26" ht="21" customHeight="1">
      <c r="A169" t="s">
        <v>370</v>
      </c>
      <c r="B169" t="s">
        <v>152</v>
      </c>
      <c r="C169">
        <v>168</v>
      </c>
      <c r="D169">
        <v>163</v>
      </c>
      <c r="E169" t="s">
        <v>393</v>
      </c>
      <c r="G169" t="s">
        <v>394</v>
      </c>
      <c r="M169" t="s">
        <v>379</v>
      </c>
      <c r="T169" t="s">
        <v>395</v>
      </c>
    </row>
    <row r="170" spans="1:26" ht="21" customHeight="1">
      <c r="A170" t="s">
        <v>370</v>
      </c>
      <c r="B170" t="s">
        <v>68</v>
      </c>
      <c r="C170">
        <v>169</v>
      </c>
      <c r="D170">
        <v>164</v>
      </c>
      <c r="E170" t="s">
        <v>396</v>
      </c>
      <c r="H170" t="s">
        <v>106</v>
      </c>
      <c r="K170" t="s">
        <v>397</v>
      </c>
    </row>
    <row r="171" spans="1:26" ht="21" customHeight="1">
      <c r="A171" t="s">
        <v>370</v>
      </c>
      <c r="B171" t="s">
        <v>64</v>
      </c>
      <c r="C171">
        <v>170</v>
      </c>
      <c r="D171">
        <v>165</v>
      </c>
      <c r="E171" t="s">
        <v>398</v>
      </c>
      <c r="H171" t="s">
        <v>106</v>
      </c>
      <c r="K171" t="s">
        <v>399</v>
      </c>
      <c r="O171" t="s">
        <v>14</v>
      </c>
    </row>
    <row r="172" spans="1:26" ht="21" customHeight="1">
      <c r="A172" t="s">
        <v>370</v>
      </c>
      <c r="B172" t="s">
        <v>62</v>
      </c>
      <c r="C172">
        <v>171</v>
      </c>
      <c r="D172">
        <v>166</v>
      </c>
      <c r="E172" t="s">
        <v>400</v>
      </c>
      <c r="G172" t="s">
        <v>401</v>
      </c>
      <c r="K172" t="s">
        <v>402</v>
      </c>
    </row>
    <row r="173" spans="1:26" ht="21" customHeight="1">
      <c r="A173" t="s">
        <v>370</v>
      </c>
      <c r="B173" t="s">
        <v>62</v>
      </c>
      <c r="C173">
        <v>172</v>
      </c>
      <c r="D173">
        <v>167</v>
      </c>
      <c r="E173" t="s">
        <v>403</v>
      </c>
      <c r="G173" t="s">
        <v>404</v>
      </c>
      <c r="I173" t="inlineStr">
        <is>
          <t>N-44</t>
        </is>
      </c>
      <c r="L173" t="s">
        <v>342</v>
      </c>
    </row>
    <row r="174" spans="1:26" ht="21" customHeight="1">
      <c r="A174" t="s">
        <v>370</v>
      </c>
      <c r="B174" t="s">
        <v>38</v>
      </c>
      <c r="C174">
        <v>173</v>
      </c>
      <c r="D174">
        <v>168</v>
      </c>
      <c r="E174" t="s">
        <v>405</v>
      </c>
      <c r="G174" t="s">
        <v>406</v>
      </c>
      <c r="H174" t="s">
        <v>106</v>
      </c>
      <c r="J174" t="s">
        <v>44</v>
      </c>
      <c r="L174" t="s">
        <v>354</v>
      </c>
      <c r="O174" t="s">
        <v>14</v>
      </c>
    </row>
    <row r="175" spans="1:26" ht="21" customHeight="1">
      <c r="A175" t="s">
        <v>370</v>
      </c>
      <c r="B175" t="s">
        <v>62</v>
      </c>
      <c r="C175">
        <v>174</v>
      </c>
      <c r="D175">
        <v>169</v>
      </c>
      <c r="E175" t="s">
        <v>407</v>
      </c>
      <c r="K175" t="s">
        <v>408</v>
      </c>
    </row>
    <row r="176" spans="1:26" ht="21" customHeight="1">
      <c r="A176" t="s">
        <v>370</v>
      </c>
      <c r="B176" t="s">
        <v>62</v>
      </c>
      <c r="C176">
        <v>175</v>
      </c>
      <c r="D176">
        <v>170</v>
      </c>
      <c r="E176" t="s">
        <v>409</v>
      </c>
      <c r="G176" t="s">
        <v>410</v>
      </c>
      <c r="J176" t="s">
        <v>44</v>
      </c>
    </row>
    <row r="177" spans="1:26" ht="21" customHeight="1">
      <c r="A177" t="s">
        <v>370</v>
      </c>
      <c r="B177" t="s">
        <v>38</v>
      </c>
      <c r="C177">
        <v>176</v>
      </c>
      <c r="D177">
        <v>171</v>
      </c>
      <c r="E177" t="s">
        <v>411</v>
      </c>
      <c r="F177" t="s">
        <v>5</v>
      </c>
      <c r="G177" t="s">
        <v>412</v>
      </c>
      <c r="H177" t="s">
        <v>106</v>
      </c>
      <c r="I177" t="inlineStr">
        <is>
          <t>N-45</t>
        </is>
      </c>
      <c r="J177" t="s">
        <v>44</v>
      </c>
      <c r="K177" t="s">
        <v>413</v>
      </c>
      <c r="L177" t="s">
        <v>345</v>
      </c>
      <c r="M177" t="s">
        <v>379</v>
      </c>
      <c r="O177" t="s">
        <v>14</v>
      </c>
    </row>
    <row r="178" spans="1:26" ht="21" customHeight="1">
      <c r="A178" t="s">
        <v>370</v>
      </c>
      <c r="B178" t="s">
        <v>62</v>
      </c>
      <c r="C178">
        <v>177</v>
      </c>
      <c r="D178">
        <v>172</v>
      </c>
      <c r="E178" t="s">
        <v>414</v>
      </c>
      <c r="I178" t="inlineStr">
        <is>
          <t>N-46</t>
        </is>
      </c>
    </row>
    <row r="179" spans="1:26" ht="21" customHeight="1">
      <c r="A179" t="s">
        <v>370</v>
      </c>
      <c r="B179" t="s">
        <v>62</v>
      </c>
      <c r="C179">
        <v>178</v>
      </c>
      <c r="D179">
        <v>173</v>
      </c>
      <c r="E179" t="s">
        <v>415</v>
      </c>
      <c r="I179" t="inlineStr">
        <is>
          <t>N-51</t>
        </is>
      </c>
      <c r="L179" t="s">
        <v>373</v>
      </c>
    </row>
    <row r="180" spans="1:26" ht="21" customHeight="1">
      <c r="A180" t="s">
        <v>370</v>
      </c>
      <c r="B180" t="s">
        <v>111</v>
      </c>
      <c r="C180">
        <v>179</v>
      </c>
      <c r="D180">
        <v>174</v>
      </c>
      <c r="E180" t="s">
        <v>416</v>
      </c>
      <c r="F180" t="s">
        <v>5</v>
      </c>
      <c r="G180" t="s">
        <v>417</v>
      </c>
      <c r="I180" t="inlineStr">
        <is>
          <t>N-47</t>
        </is>
      </c>
      <c r="L180" t="s">
        <v>365</v>
      </c>
    </row>
    <row r="181" spans="1:26" ht="21" customHeight="1">
      <c r="A181" t="s">
        <v>370</v>
      </c>
      <c r="B181" t="s">
        <v>62</v>
      </c>
      <c r="C181">
        <v>180</v>
      </c>
      <c r="D181">
        <v>175</v>
      </c>
      <c r="E181" t="s">
        <v>418</v>
      </c>
      <c r="J181" t="s">
        <v>44</v>
      </c>
    </row>
    <row r="182" spans="1:26" ht="21" customHeight="1">
      <c r="A182" t="s">
        <v>420</v>
      </c>
      <c r="B182" t="s">
        <v>64</v>
      </c>
      <c r="C182">
        <v>181</v>
      </c>
      <c r="D182">
        <v>176</v>
      </c>
      <c r="E182" t="s">
        <v>421</v>
      </c>
      <c r="I182" t="inlineStr">
        <is>
          <t>N-49</t>
        </is>
      </c>
      <c r="L182" t="s">
        <v>376</v>
      </c>
      <c r="O182" t="s">
        <v>14</v>
      </c>
    </row>
    <row r="183" spans="1:26" ht="21" customHeight="1">
      <c r="A183" t="s">
        <v>420</v>
      </c>
      <c r="B183" t="s">
        <v>64</v>
      </c>
      <c r="C183">
        <v>182</v>
      </c>
      <c r="D183">
        <v>177</v>
      </c>
      <c r="E183" t="s">
        <v>422</v>
      </c>
      <c r="I183" t="inlineStr">
        <is>
          <t>N-50</t>
        </is>
      </c>
      <c r="L183" t="s">
        <v>369</v>
      </c>
      <c r="O183" t="s">
        <v>14</v>
      </c>
    </row>
    <row r="184" spans="1:26" ht="21" customHeight="1">
      <c r="A184" t="s">
        <v>420</v>
      </c>
      <c r="B184" t="s">
        <v>62</v>
      </c>
      <c r="C184">
        <v>183</v>
      </c>
      <c r="D184">
        <v>178</v>
      </c>
      <c r="E184" t="s">
        <v>423</v>
      </c>
      <c r="J184" t="s">
        <v>44</v>
      </c>
      <c r="O184" t="s">
        <v>14</v>
      </c>
    </row>
    <row r="185" spans="1:26" ht="21" customHeight="1">
      <c r="A185" t="s">
        <v>420</v>
      </c>
      <c r="B185" t="s">
        <v>424</v>
      </c>
      <c r="C185">
        <v>184</v>
      </c>
      <c r="D185">
        <v>179</v>
      </c>
      <c r="E185" t="s">
        <v>425</v>
      </c>
      <c r="I185" t="inlineStr">
        <is>
          <t>N-48</t>
        </is>
      </c>
      <c r="L185" t="s">
        <v>362</v>
      </c>
    </row>
    <row r="186" spans="1:26" ht="21" customHeight="1">
      <c r="A186" t="s">
        <v>420</v>
      </c>
      <c r="B186" t="s">
        <v>62</v>
      </c>
      <c r="C186">
        <v>185</v>
      </c>
      <c r="D186">
        <v>180</v>
      </c>
      <c r="E186" t="s">
        <v>426</v>
      </c>
      <c r="F186" t="s">
        <v>5</v>
      </c>
      <c r="G186" t="s">
        <v>427</v>
      </c>
      <c r="J186" t="s">
        <v>44</v>
      </c>
      <c r="M186" t="s">
        <v>379</v>
      </c>
    </row>
    <row r="187" spans="1:26" ht="21" customHeight="1">
      <c r="A187" t="s">
        <v>420</v>
      </c>
      <c r="B187" t="s">
        <v>38</v>
      </c>
      <c r="C187">
        <v>186</v>
      </c>
      <c r="D187">
        <v>181</v>
      </c>
      <c r="E187" t="s">
        <v>428</v>
      </c>
      <c r="G187" t="s">
        <v>429</v>
      </c>
      <c r="J187" t="s">
        <v>44</v>
      </c>
      <c r="M187" t="s">
        <v>379</v>
      </c>
      <c r="T187" t="s">
        <v>395</v>
      </c>
    </row>
    <row r="188" spans="1:26" ht="21" customHeight="1">
      <c r="A188" t="s">
        <v>420</v>
      </c>
      <c r="B188" t="s">
        <v>89</v>
      </c>
      <c r="C188">
        <v>187</v>
      </c>
      <c r="D188">
        <v>182</v>
      </c>
      <c r="E188" t="s">
        <v>430</v>
      </c>
      <c r="G188" t="s">
        <v>431</v>
      </c>
      <c r="J188" t="s">
        <v>44</v>
      </c>
      <c r="M188" t="s">
        <v>379</v>
      </c>
    </row>
    <row r="189" spans="1:26" ht="21" customHeight="1">
      <c r="A189" t="s">
        <v>420</v>
      </c>
      <c r="B189" t="s">
        <v>62</v>
      </c>
      <c r="C189">
        <v>188</v>
      </c>
      <c r="D189">
        <v>183</v>
      </c>
      <c r="E189" t="s">
        <v>432</v>
      </c>
      <c r="G189" t="s">
        <v>433</v>
      </c>
    </row>
    <row r="190" spans="1:26" ht="21" customHeight="1">
      <c r="A190" t="s">
        <v>434</v>
      </c>
      <c r="B190" t="s">
        <v>27</v>
      </c>
      <c r="C190">
        <v>189</v>
      </c>
      <c r="D190">
        <v>184</v>
      </c>
      <c r="E190" t="s">
        <v>435</v>
      </c>
      <c r="G190" t="s">
        <v>436</v>
      </c>
      <c r="H190" t="s">
        <v>31</v>
      </c>
      <c r="J190" t="s">
        <v>31</v>
      </c>
      <c r="L190" t="inlineStr">
        <is>
          <t>K-</t>
        </is>
      </c>
      <c r="O190" t="s">
        <v>14</v>
      </c>
    </row>
    <row r="191" spans="1:26" ht="21" customHeight="1">
      <c r="A191" t="s">
        <v>434</v>
      </c>
      <c r="B191" t="s">
        <v>62</v>
      </c>
      <c r="C191">
        <v>190</v>
      </c>
      <c r="D191">
        <v>185</v>
      </c>
      <c r="E191" t="s">
        <v>438</v>
      </c>
      <c r="F191" t="s">
        <v>5</v>
      </c>
      <c r="G191" t="s">
        <v>439</v>
      </c>
      <c r="H191" t="s">
        <v>31</v>
      </c>
      <c r="J191" t="s">
        <v>31</v>
      </c>
      <c r="L191" t="inlineStr">
        <is>
          <t>K-</t>
        </is>
      </c>
      <c r="O191" t="s">
        <v>14</v>
      </c>
    </row>
    <row r="192" spans="1:26" ht="21" customHeight="1">
      <c r="A192" t="s">
        <v>434</v>
      </c>
      <c r="B192" t="s">
        <v>89</v>
      </c>
      <c r="C192">
        <v>191</v>
      </c>
      <c r="D192">
        <v>186</v>
      </c>
      <c r="E192" t="s">
        <v>440</v>
      </c>
      <c r="G192" t="s">
        <v>441</v>
      </c>
      <c r="J192" t="s">
        <v>31</v>
      </c>
    </row>
    <row r="193" spans="1:26" ht="21" customHeight="1">
      <c r="A193" t="s">
        <v>434</v>
      </c>
      <c r="B193" t="s">
        <v>68</v>
      </c>
      <c r="C193">
        <v>192</v>
      </c>
      <c r="D193">
        <v>187</v>
      </c>
      <c r="E193" t="s">
        <v>442</v>
      </c>
      <c r="G193" t="s">
        <v>443</v>
      </c>
      <c r="J193" t="s">
        <v>31</v>
      </c>
    </row>
    <row r="194" spans="1:26" ht="21" customHeight="1">
      <c r="A194" t="s">
        <v>434</v>
      </c>
      <c r="B194" t="s">
        <v>62</v>
      </c>
      <c r="C194">
        <v>193</v>
      </c>
      <c r="D194">
        <v>188</v>
      </c>
      <c r="E194" t="s">
        <v>444</v>
      </c>
      <c r="G194" t="s">
        <v>445</v>
      </c>
      <c r="I194" t="s">
        <v>31</v>
      </c>
      <c r="L194" t="inlineStr">
        <is>
          <t>K-</t>
        </is>
      </c>
    </row>
    <row r="195" spans="1:26" ht="21" customHeight="1">
      <c r="A195" t="s">
        <v>434</v>
      </c>
      <c r="B195" t="s">
        <v>62</v>
      </c>
      <c r="C195">
        <v>194</v>
      </c>
      <c r="D195">
        <v>189</v>
      </c>
      <c r="E195" t="s">
        <v>446</v>
      </c>
      <c r="G195" t="s">
        <v>447</v>
      </c>
      <c r="I195" t="s">
        <v>31</v>
      </c>
      <c r="L195" t="inlineStr">
        <is>
          <t>K-</t>
        </is>
      </c>
    </row>
    <row r="196" spans="1:26" ht="21" customHeight="1">
      <c r="A196" t="s">
        <v>448</v>
      </c>
      <c r="B196" t="s">
        <v>62</v>
      </c>
      <c r="C196">
        <v>195</v>
      </c>
      <c r="D196">
        <v>190</v>
      </c>
      <c r="E196" t="s">
        <v>449</v>
      </c>
      <c r="L196" t="inlineStr">
        <is>
          <t>M-</t>
        </is>
      </c>
    </row>
    <row r="197" spans="1:26" ht="21" customHeight="1">
      <c r="A197" t="s">
        <v>450</v>
      </c>
      <c r="B197" t="s">
        <v>111</v>
      </c>
      <c r="C197">
        <v>196</v>
      </c>
      <c r="D197">
        <v>191</v>
      </c>
      <c r="E197" t="s">
        <v>451</v>
      </c>
      <c r="F197" t="s">
        <v>5</v>
      </c>
      <c r="G197" t="s">
        <v>452</v>
      </c>
      <c r="H197" t="s">
        <v>31</v>
      </c>
      <c r="I197" t="s">
        <v>31</v>
      </c>
      <c r="J197" t="s">
        <v>31</v>
      </c>
      <c r="K197" t="inlineStr">
        <is>
          <t>K-41</t>
        </is>
      </c>
      <c r="L197" t="inlineStr">
        <is>
          <t>K-</t>
        </is>
      </c>
      <c r="M197" t="s">
        <v>379</v>
      </c>
    </row>
    <row r="198" spans="1:26" ht="21" customHeight="1">
      <c r="A198" t="s">
        <v>450</v>
      </c>
      <c r="B198" t="s">
        <v>89</v>
      </c>
      <c r="C198">
        <v>197</v>
      </c>
      <c r="D198">
        <v>192</v>
      </c>
      <c r="E198" t="s">
        <v>453</v>
      </c>
      <c r="G198" t="s">
        <v>454</v>
      </c>
      <c r="H198" t="s">
        <v>31</v>
      </c>
      <c r="I198" t="s">
        <v>31</v>
      </c>
      <c r="J198" t="s">
        <v>31</v>
      </c>
      <c r="K198" t="inlineStr">
        <is>
          <t>K-42</t>
        </is>
      </c>
      <c r="L198" t="s">
        <v>31</v>
      </c>
      <c r="M198" t="s">
        <v>379</v>
      </c>
    </row>
    <row r="199" spans="1:26" ht="21" customHeight="1">
      <c r="A199" t="s">
        <v>450</v>
      </c>
      <c r="B199" t="s">
        <v>64</v>
      </c>
      <c r="C199">
        <v>198</v>
      </c>
      <c r="D199">
        <v>193</v>
      </c>
      <c r="E199" t="s">
        <v>455</v>
      </c>
      <c r="G199" t="s">
        <v>456</v>
      </c>
      <c r="H199" t="s">
        <v>31</v>
      </c>
      <c r="K199" t="inlineStr">
        <is>
          <t>K-40</t>
        </is>
      </c>
      <c r="O199" t="s">
        <v>14</v>
      </c>
    </row>
    <row r="200" spans="1:26" ht="21" customHeight="1">
      <c r="A200" t="s">
        <v>450</v>
      </c>
      <c r="B200" t="s">
        <v>34</v>
      </c>
      <c r="C200">
        <v>199</v>
      </c>
      <c r="D200">
        <v>194</v>
      </c>
      <c r="E200" t="s">
        <v>457</v>
      </c>
      <c r="G200" t="s">
        <v>458</v>
      </c>
      <c r="H200" t="s">
        <v>31</v>
      </c>
      <c r="J200" t="s">
        <v>31</v>
      </c>
      <c r="L200" t="inlineStr">
        <is>
          <t>K-</t>
        </is>
      </c>
      <c r="O200" t="s">
        <v>14</v>
      </c>
    </row>
    <row r="201" spans="1:26" ht="21" customHeight="1">
      <c r="A201" t="s">
        <v>450</v>
      </c>
      <c r="B201" t="s">
        <v>62</v>
      </c>
      <c r="C201">
        <v>200</v>
      </c>
      <c r="D201">
        <v>195</v>
      </c>
      <c r="E201" t="s">
        <v>459</v>
      </c>
      <c r="G201" t="s">
        <v>460</v>
      </c>
      <c r="L201" t="inlineStr">
        <is>
          <t>K-</t>
        </is>
      </c>
    </row>
    <row r="202" spans="1:26" ht="21" customHeight="1">
      <c r="A202" t="s">
        <v>450</v>
      </c>
      <c r="B202" t="s">
        <v>62</v>
      </c>
      <c r="C202">
        <v>201</v>
      </c>
      <c r="D202">
        <v>196</v>
      </c>
      <c r="E202" t="s">
        <v>461</v>
      </c>
      <c r="G202" t="s">
        <v>462</v>
      </c>
      <c r="L202"/>
    </row>
    <row r="203" spans="1:26" ht="21" customHeight="1">
      <c r="A203" t="s">
        <v>463</v>
      </c>
      <c r="B203" t="s">
        <v>68</v>
      </c>
      <c r="C203">
        <v>202</v>
      </c>
      <c r="D203">
        <v>197</v>
      </c>
      <c r="E203" t="s">
        <v>464</v>
      </c>
      <c r="G203" t="s">
        <v>465</v>
      </c>
      <c r="I203" t="s">
        <v>31</v>
      </c>
      <c r="L203" t="inlineStr">
        <is>
          <t>K-</t>
        </is>
      </c>
    </row>
    <row r="204" spans="1:26" ht="21" customHeight="1">
      <c r="A204" t="s">
        <v>466</v>
      </c>
      <c r="B204" t="s">
        <v>62</v>
      </c>
      <c r="C204">
        <v>203</v>
      </c>
      <c r="D204">
        <v>198</v>
      </c>
      <c r="E204" t="s">
        <v>467</v>
      </c>
      <c r="I204"/>
      <c r="L204" t="inlineStr">
        <is>
          <t>K-</t>
        </is>
      </c>
    </row>
    <row r="205" spans="1:26" ht="21" customHeight="1">
      <c r="A205" t="s">
        <v>466</v>
      </c>
      <c r="B205" t="s">
        <v>64</v>
      </c>
      <c r="C205">
        <v>204</v>
      </c>
      <c r="D205">
        <v>199</v>
      </c>
      <c r="E205" t="s">
        <v>468</v>
      </c>
      <c r="G205" t="s">
        <v>469</v>
      </c>
      <c r="H205" t="s">
        <v>31</v>
      </c>
      <c r="K205" t="inlineStr">
        <is>
          <t>K-9</t>
        </is>
      </c>
      <c r="R205" t="s">
        <v>470</v>
      </c>
    </row>
    <row r="206" spans="1:26" ht="21" customHeight="1">
      <c r="A206" t="s">
        <v>466</v>
      </c>
      <c r="B206" t="s">
        <v>62</v>
      </c>
      <c r="C206">
        <v>205</v>
      </c>
      <c r="D206">
        <v>200</v>
      </c>
      <c r="E206" t="s">
        <v>471</v>
      </c>
      <c r="G206" t="s">
        <v>472</v>
      </c>
      <c r="H206" t="s">
        <v>31</v>
      </c>
      <c r="J206" t="s">
        <v>31</v>
      </c>
      <c r="L206" t="inlineStr">
        <is>
          <t>K-</t>
        </is>
      </c>
    </row>
    <row r="207" spans="1:26" ht="21" customHeight="1">
      <c r="A207" t="s">
        <v>466</v>
      </c>
      <c r="B207" t="s">
        <v>62</v>
      </c>
      <c r="C207">
        <v>206</v>
      </c>
      <c r="D207">
        <v>201</v>
      </c>
      <c r="E207" t="s">
        <v>473</v>
      </c>
      <c r="F207" t="s">
        <v>5</v>
      </c>
      <c r="G207" t="s">
        <v>474</v>
      </c>
      <c r="I207" t="s">
        <v>31</v>
      </c>
      <c r="L207" t="inlineStr">
        <is>
          <t>K-</t>
        </is>
      </c>
    </row>
    <row r="208" spans="1:26" ht="21" customHeight="1">
      <c r="A208" t="s">
        <v>466</v>
      </c>
      <c r="B208" t="s">
        <v>62</v>
      </c>
      <c r="C208">
        <v>207</v>
      </c>
      <c r="D208">
        <v>202</v>
      </c>
      <c r="E208" t="s">
        <v>475</v>
      </c>
      <c r="L208" t="inlineStr">
        <is>
          <t>K-</t>
        </is>
      </c>
    </row>
    <row r="209" spans="1:26" ht="21" customHeight="1">
      <c r="A209" t="s">
        <v>476</v>
      </c>
      <c r="B209" t="s">
        <v>62</v>
      </c>
      <c r="C209">
        <v>208</v>
      </c>
      <c r="D209">
        <v>203</v>
      </c>
      <c r="E209" t="s">
        <v>477</v>
      </c>
      <c r="F209" t="s">
        <v>5</v>
      </c>
      <c r="I209" t="s">
        <v>31</v>
      </c>
      <c r="L209" t="inlineStr">
        <is>
          <t>K-</t>
        </is>
      </c>
    </row>
    <row r="210" spans="1:26" ht="21" customHeight="1">
      <c r="A210" t="s">
        <v>476</v>
      </c>
      <c r="B210" t="s">
        <v>62</v>
      </c>
      <c r="C210">
        <v>209</v>
      </c>
      <c r="D210">
        <v>204</v>
      </c>
      <c r="E210" t="s">
        <v>478</v>
      </c>
      <c r="G210" t="s">
        <v>479</v>
      </c>
      <c r="L210" t="inlineStr">
        <is>
          <t>K-</t>
        </is>
      </c>
    </row>
    <row r="211" spans="1:26" ht="21" customHeight="1">
      <c r="A211" t="s">
        <v>476</v>
      </c>
      <c r="B211" t="s">
        <v>62</v>
      </c>
      <c r="C211">
        <v>210</v>
      </c>
      <c r="D211">
        <v>205</v>
      </c>
      <c r="E211" t="s">
        <v>480</v>
      </c>
      <c r="L211" t="inlineStr">
        <is>
          <t>K-</t>
        </is>
      </c>
    </row>
    <row r="212" spans="1:25" ht="21" customHeight="1">
      <c r="A212" t="s">
        <v>476</v>
      </c>
      <c r="B212" t="s">
        <v>62</v>
      </c>
      <c r="C212">
        <v>211</v>
      </c>
      <c r="D212">
        <v>206</v>
      </c>
      <c r="E212" t="s">
        <v>481</v>
      </c>
      <c r="G212" t="s">
        <v>482</v>
      </c>
      <c r="L212" t="inlineStr">
        <is>
          <t>K-</t>
        </is>
      </c>
    </row>
    <row r="213" spans="1:25" ht="21" customHeight="1">
      <c r="A213" t="s">
        <v>476</v>
      </c>
      <c r="B213" t="s">
        <v>62</v>
      </c>
      <c r="C213">
        <v>212</v>
      </c>
      <c r="D213">
        <v>207</v>
      </c>
      <c r="E213" t="s">
        <v>483</v>
      </c>
      <c r="F213" t="s">
        <v>5</v>
      </c>
      <c r="G213" t="s">
        <v>484</v>
      </c>
      <c r="L213" t="inlineStr">
        <is>
          <t>K-</t>
        </is>
      </c>
    </row>
    <row r="214" spans="1:25" ht="21" customHeight="1">
      <c r="A214" t="s">
        <v>476</v>
      </c>
      <c r="B214" t="s">
        <v>62</v>
      </c>
      <c r="C214">
        <v>213</v>
      </c>
      <c r="D214">
        <v>208</v>
      </c>
      <c r="E214" t="s">
        <v>485</v>
      </c>
      <c r="G214" t="s">
        <v>486</v>
      </c>
      <c r="H214" t="s">
        <v>31</v>
      </c>
      <c r="K214" t="inlineStr">
        <is>
          <t>K-43</t>
        </is>
      </c>
    </row>
    <row r="215" spans="1:25" ht="21" customHeight="1">
      <c r="A215" t="s">
        <v>476</v>
      </c>
      <c r="B215" t="s">
        <v>62</v>
      </c>
      <c r="C215">
        <v>214</v>
      </c>
      <c r="D215">
        <v>209</v>
      </c>
      <c r="E215" t="s">
        <v>487</v>
      </c>
      <c r="L215" t="inlineStr">
        <is>
          <t>K-</t>
        </is>
      </c>
    </row>
    <row r="216" spans="1:25" ht="21" customHeight="1">
      <c r="A216" t="s">
        <v>488</v>
      </c>
      <c r="B216" t="s">
        <v>34</v>
      </c>
      <c r="C216">
        <v>215</v>
      </c>
      <c r="D216">
        <v>210</v>
      </c>
      <c r="E216" t="s">
        <v>489</v>
      </c>
      <c r="G216" t="s">
        <v>490</v>
      </c>
      <c r="J216" t="s">
        <v>491</v>
      </c>
      <c r="K216" t="inlineStr">
        <is>
          <t>K-6</t>
        </is>
      </c>
    </row>
    <row r="217" spans="1:25" ht="21" customHeight="1">
      <c r="A217" t="s">
        <v>488</v>
      </c>
      <c r="B217" t="s">
        <v>62</v>
      </c>
      <c r="C217">
        <v>216</v>
      </c>
      <c r="D217">
        <v>211</v>
      </c>
      <c r="E217" t="s">
        <v>492</v>
      </c>
      <c r="I217"/>
      <c r="L217" t="s">
        <v>31</v>
      </c>
    </row>
    <row r="218" spans="1:25" ht="21" customHeight="1">
      <c r="A218" t="s">
        <v>488</v>
      </c>
      <c r="B218" t="s">
        <v>62</v>
      </c>
      <c r="C218">
        <v>217</v>
      </c>
      <c r="D218">
        <v>212</v>
      </c>
      <c r="E218" t="s">
        <v>493</v>
      </c>
      <c r="G218" t="s">
        <v>494</v>
      </c>
      <c r="H218" t="s">
        <v>31</v>
      </c>
      <c r="J218" t="s">
        <v>31</v>
      </c>
      <c r="L218" t="inlineStr">
        <is>
          <t>K-</t>
        </is>
      </c>
    </row>
    <row r="219" spans="1:25" ht="21" customHeight="1">
      <c r="A219" t="s">
        <v>488</v>
      </c>
      <c r="B219" t="s">
        <v>62</v>
      </c>
      <c r="C219">
        <v>218</v>
      </c>
      <c r="D219">
        <v>213</v>
      </c>
      <c r="E219" t="s">
        <v>495</v>
      </c>
      <c r="G219" t="s">
        <v>496</v>
      </c>
      <c r="K219" t="inlineStr">
        <is>
          <t>K-7</t>
        </is>
      </c>
    </row>
    <row r="220" spans="1:25" ht="21" customHeight="1">
      <c r="A220" t="s">
        <v>488</v>
      </c>
      <c r="B220" t="s">
        <v>62</v>
      </c>
      <c r="C220">
        <v>219</v>
      </c>
      <c r="D220">
        <v>214</v>
      </c>
      <c r="E220" t="s">
        <v>497</v>
      </c>
      <c r="G220" t="s">
        <v>498</v>
      </c>
      <c r="K220" t="inlineStr">
        <is>
          <t>K-8</t>
        </is>
      </c>
    </row>
    <row r="221" spans="1:25" ht="21" customHeight="1">
      <c r="A221" t="s">
        <v>488</v>
      </c>
      <c r="B221" t="s">
        <v>68</v>
      </c>
      <c r="C221">
        <v>220</v>
      </c>
      <c r="D221">
        <v>215</v>
      </c>
      <c r="E221" t="s">
        <v>499</v>
      </c>
      <c r="H221" t="s">
        <v>31</v>
      </c>
      <c r="J221" t="s">
        <v>31</v>
      </c>
      <c r="L221" t="inlineStr">
        <is>
          <t>K-</t>
        </is>
      </c>
    </row>
    <row r="222" spans="1:26" ht="21" customHeight="1">
      <c r="A222" t="inlineStr">
        <is>
          <t>治田</t>
        </is>
      </c>
      <c r="B222" t="inlineStr">
        <is>
          <t>会社　商店</t>
        </is>
      </c>
      <c r="C222">
        <v>221</v>
      </c>
      <c r="D222">
        <v>295</v>
      </c>
      <c r="E222" t="inlineStr">
        <is>
          <t>伊賀　アスコン</t>
        </is>
      </c>
      <c r="G222"/>
      <c r="H222"/>
      <c r="J222" t="inlineStr">
        <is>
          <t>K-</t>
        </is>
      </c>
      <c r="L222"/>
    </row>
    <row r="223" spans="1:25" ht="21" customHeight="1">
      <c r="A223" t="s">
        <v>500</v>
      </c>
      <c r="B223" t="s">
        <v>62</v>
      </c>
      <c r="C223">
        <v>222</v>
      </c>
      <c r="D223">
        <v>216</v>
      </c>
      <c r="E223" t="s">
        <v>501</v>
      </c>
      <c r="G223" t="s">
        <v>502</v>
      </c>
      <c r="I223" t="s">
        <v>31</v>
      </c>
      <c r="L223" t="inlineStr">
        <is>
          <t>K-</t>
        </is>
      </c>
    </row>
    <row r="224" spans="1:25" ht="21" customHeight="1">
      <c r="A224" t="s">
        <v>500</v>
      </c>
      <c r="B224" t="s">
        <v>503</v>
      </c>
      <c r="C224">
        <v>223</v>
      </c>
      <c r="D224">
        <v>217</v>
      </c>
      <c r="E224" t="s">
        <v>504</v>
      </c>
      <c r="G224" t="s">
        <v>505</v>
      </c>
      <c r="K224" t="inlineStr">
        <is>
          <t>K-30</t>
        </is>
      </c>
    </row>
    <row r="225" spans="1:25" ht="21" customHeight="1">
      <c r="A225" t="s">
        <v>500</v>
      </c>
      <c r="B225" t="s">
        <v>38</v>
      </c>
      <c r="C225">
        <v>224</v>
      </c>
      <c r="D225">
        <v>218</v>
      </c>
      <c r="E225" t="s">
        <v>506</v>
      </c>
      <c r="G225" t="s">
        <v>507</v>
      </c>
      <c r="I225" t="s">
        <v>31</v>
      </c>
      <c r="L225" t="inlineStr">
        <is>
          <t>K-</t>
        </is>
      </c>
    </row>
    <row r="226" spans="1:25" ht="21" customHeight="1">
      <c r="A226" t="s">
        <v>500</v>
      </c>
      <c r="B226" t="s">
        <v>27</v>
      </c>
      <c r="C226">
        <v>225</v>
      </c>
      <c r="D226">
        <v>219</v>
      </c>
      <c r="E226" t="s">
        <v>508</v>
      </c>
      <c r="G226" t="s">
        <v>509</v>
      </c>
      <c r="I226" t="s">
        <v>31</v>
      </c>
      <c r="L226" t="inlineStr">
        <is>
          <t>K-</t>
        </is>
      </c>
      <c r="O226" t="s">
        <v>14</v>
      </c>
    </row>
    <row r="227" spans="1:25" ht="21" customHeight="1">
      <c r="A227" t="s">
        <v>500</v>
      </c>
      <c r="B227" t="s">
        <v>503</v>
      </c>
      <c r="C227">
        <v>226</v>
      </c>
      <c r="D227">
        <v>220</v>
      </c>
      <c r="E227" t="s">
        <v>510</v>
      </c>
      <c r="G227" t="s">
        <v>511</v>
      </c>
      <c r="I227" t="s">
        <v>31</v>
      </c>
      <c r="L227" t="inlineStr">
        <is>
          <t>K-</t>
        </is>
      </c>
    </row>
    <row r="228" spans="1:25" ht="21" customHeight="1">
      <c r="A228" t="s">
        <v>500</v>
      </c>
      <c r="B228" t="s">
        <v>89</v>
      </c>
      <c r="C228">
        <v>227</v>
      </c>
      <c r="D228">
        <v>221</v>
      </c>
      <c r="E228" t="s">
        <v>512</v>
      </c>
      <c r="G228" t="s">
        <v>513</v>
      </c>
      <c r="I228" t="s">
        <v>31</v>
      </c>
      <c r="L228" t="inlineStr">
        <is>
          <t>K-</t>
        </is>
      </c>
    </row>
    <row r="229" spans="1:26" ht="21" customHeight="1">
      <c r="A229" t="s">
        <v>500</v>
      </c>
      <c r="B229" t="s">
        <v>38</v>
      </c>
      <c r="C229">
        <v>228</v>
      </c>
      <c r="D229">
        <v>222</v>
      </c>
      <c r="E229" t="s">
        <v>514</v>
      </c>
      <c r="G229" t="s">
        <v>515</v>
      </c>
      <c r="H229" t="s">
        <v>31</v>
      </c>
      <c r="L229"/>
      <c r="O229" t="s">
        <v>14</v>
      </c>
      <c r="R229" t="s">
        <v>516</v>
      </c>
      <c r="T229" t="s">
        <v>517</v>
      </c>
    </row>
    <row r="230" spans="1:26" ht="21" customHeight="1">
      <c r="A230" t="s">
        <v>500</v>
      </c>
      <c r="B230" t="s">
        <v>38</v>
      </c>
      <c r="C230">
        <v>229</v>
      </c>
      <c r="D230">
        <v>223</v>
      </c>
      <c r="E230" t="s">
        <v>518</v>
      </c>
      <c r="G230" t="s">
        <v>519</v>
      </c>
      <c r="H230" t="s">
        <v>31</v>
      </c>
      <c r="I230" t="s">
        <v>31</v>
      </c>
      <c r="K230" t="inlineStr">
        <is>
          <t>K-31</t>
        </is>
      </c>
      <c r="L230" t="inlineStr">
        <is>
          <t>K-</t>
        </is>
      </c>
      <c r="M230" t="s">
        <v>379</v>
      </c>
      <c r="O230" t="s">
        <v>14</v>
      </c>
    </row>
    <row r="231" spans="1:26" ht="21" customHeight="1">
      <c r="A231" t="s">
        <v>500</v>
      </c>
      <c r="B231" t="s">
        <v>62</v>
      </c>
      <c r="C231">
        <v>230</v>
      </c>
      <c r="D231">
        <v>224</v>
      </c>
      <c r="E231" t="s">
        <v>520</v>
      </c>
      <c r="L231" t="inlineStr">
        <is>
          <t>K-</t>
        </is>
      </c>
      <c r="O231" t="s">
        <v>14</v>
      </c>
      <c r="R231" t="s">
        <v>521</v>
      </c>
    </row>
    <row r="232" spans="1:26" ht="21" customHeight="1">
      <c r="A232" t="s">
        <v>522</v>
      </c>
      <c r="B232" t="s">
        <v>68</v>
      </c>
      <c r="C232">
        <v>231</v>
      </c>
      <c r="D232">
        <v>225</v>
      </c>
      <c r="E232" t="s">
        <v>523</v>
      </c>
      <c r="G232" t="s">
        <v>524</v>
      </c>
      <c r="I232" t="s">
        <v>31</v>
      </c>
      <c r="L232" t="inlineStr">
        <is>
          <t>K-</t>
        </is>
      </c>
    </row>
    <row r="233" spans="1:26" ht="21" customHeight="1">
      <c r="A233" t="s">
        <v>522</v>
      </c>
      <c r="B233" t="s">
        <v>62</v>
      </c>
      <c r="C233">
        <v>232</v>
      </c>
      <c r="D233">
        <v>226</v>
      </c>
      <c r="E233" t="s">
        <v>525</v>
      </c>
      <c r="G233" t="s">
        <v>191</v>
      </c>
      <c r="I233" t="s">
        <v>31</v>
      </c>
      <c r="L233" t="inlineStr">
        <is>
          <t>K-</t>
        </is>
      </c>
      <c r="R233" t="s">
        <v>526</v>
      </c>
    </row>
    <row r="234" spans="1:26" ht="21" customHeight="1">
      <c r="A234" t="s">
        <v>522</v>
      </c>
      <c r="B234" t="s">
        <v>62</v>
      </c>
      <c r="C234">
        <v>233</v>
      </c>
      <c r="D234">
        <v>227</v>
      </c>
      <c r="E234" t="s">
        <v>527</v>
      </c>
      <c r="G234" t="s">
        <v>528</v>
      </c>
      <c r="K234" t="inlineStr">
        <is>
          <t>K-32</t>
        </is>
      </c>
      <c r="O234" t="s">
        <v>14</v>
      </c>
    </row>
    <row r="235" spans="1:26" ht="21" customHeight="1">
      <c r="A235" t="s">
        <v>522</v>
      </c>
      <c r="B235" t="s">
        <v>152</v>
      </c>
      <c r="C235">
        <v>234</v>
      </c>
      <c r="D235">
        <v>228</v>
      </c>
      <c r="E235" t="s">
        <v>529</v>
      </c>
      <c r="H235" t="s">
        <v>31</v>
      </c>
      <c r="J235" t="s">
        <v>44</v>
      </c>
      <c r="L235" t="s">
        <v>31</v>
      </c>
    </row>
    <row r="236" spans="1:26" ht="21" customHeight="1">
      <c r="A236" t="s">
        <v>522</v>
      </c>
      <c r="B236" t="s">
        <v>64</v>
      </c>
      <c r="C236">
        <v>235</v>
      </c>
      <c r="D236">
        <v>229</v>
      </c>
      <c r="E236" t="s">
        <v>530</v>
      </c>
      <c r="H236" t="s">
        <v>31</v>
      </c>
      <c r="K236" t="inlineStr">
        <is>
          <t>K-37</t>
        </is>
      </c>
      <c r="O236" t="s">
        <v>14</v>
      </c>
    </row>
    <row r="237" spans="1:26" ht="21" customHeight="1">
      <c r="A237" t="s">
        <v>522</v>
      </c>
      <c r="B237" t="s">
        <v>64</v>
      </c>
      <c r="C237">
        <v>236</v>
      </c>
      <c r="D237">
        <v>230</v>
      </c>
      <c r="E237" t="s">
        <v>531</v>
      </c>
      <c r="G237" t="s">
        <v>532</v>
      </c>
      <c r="H237" t="s">
        <v>31</v>
      </c>
      <c r="K237" t="inlineStr">
        <is>
          <t>K-38</t>
        </is>
      </c>
      <c r="O237" t="s">
        <v>14</v>
      </c>
    </row>
    <row r="238" spans="1:26" ht="21" customHeight="1">
      <c r="A238" t="s">
        <v>522</v>
      </c>
      <c r="B238" t="s">
        <v>64</v>
      </c>
      <c r="C238">
        <v>237</v>
      </c>
      <c r="D238">
        <v>231</v>
      </c>
      <c r="E238" t="s">
        <v>533</v>
      </c>
      <c r="H238" t="s">
        <v>31</v>
      </c>
      <c r="K238" t="inlineStr">
        <is>
          <t>K-35</t>
        </is>
      </c>
      <c r="O238" t="s">
        <v>14</v>
      </c>
    </row>
    <row r="239" spans="1:26" ht="21" customHeight="1">
      <c r="A239" t="s">
        <v>522</v>
      </c>
      <c r="B239" t="s">
        <v>64</v>
      </c>
      <c r="C239">
        <v>238</v>
      </c>
      <c r="D239">
        <v>232</v>
      </c>
      <c r="E239" t="s">
        <v>534</v>
      </c>
      <c r="H239" t="s">
        <v>31</v>
      </c>
      <c r="K239" t="inlineStr">
        <is>
          <t>K-36</t>
        </is>
      </c>
    </row>
    <row r="240" spans="1:26" ht="21" customHeight="1">
      <c r="A240" t="s">
        <v>522</v>
      </c>
      <c r="B240" t="s">
        <v>62</v>
      </c>
      <c r="C240">
        <v>239</v>
      </c>
      <c r="D240">
        <v>233</v>
      </c>
      <c r="E240" t="s">
        <v>535</v>
      </c>
      <c r="G240" t="s">
        <v>536</v>
      </c>
      <c r="K240" t="inlineStr">
        <is>
          <t>K-34</t>
        </is>
      </c>
      <c r="O240" t="s">
        <v>14</v>
      </c>
      <c r="T240" t="s">
        <v>129</v>
      </c>
    </row>
    <row r="241" spans="1:26" ht="21" customHeight="1">
      <c r="A241" t="s">
        <v>522</v>
      </c>
      <c r="B241" t="s">
        <v>89</v>
      </c>
      <c r="C241">
        <v>240</v>
      </c>
      <c r="D241">
        <v>234</v>
      </c>
      <c r="E241" t="s">
        <v>537</v>
      </c>
      <c r="G241" t="s">
        <v>538</v>
      </c>
      <c r="K241" t="inlineStr">
        <is>
          <t>K-33</t>
        </is>
      </c>
      <c r="O241" t="s">
        <v>14</v>
      </c>
      <c r="T241" t="s">
        <v>129</v>
      </c>
    </row>
    <row r="242" spans="1:26" ht="21" customHeight="1">
      <c r="A242" t="s">
        <v>539</v>
      </c>
      <c r="B242" t="s">
        <v>89</v>
      </c>
      <c r="C242">
        <v>241</v>
      </c>
      <c r="D242">
        <v>235</v>
      </c>
      <c r="E242" t="s">
        <v>540</v>
      </c>
      <c r="G242" t="s">
        <v>541</v>
      </c>
      <c r="H242" t="s">
        <v>106</v>
      </c>
    </row>
    <row r="243" spans="1:26" ht="21" customHeight="1">
      <c r="A243" t="s">
        <v>539</v>
      </c>
      <c r="B243" t="s">
        <v>38</v>
      </c>
      <c r="C243">
        <v>242</v>
      </c>
      <c r="D243">
        <v>236</v>
      </c>
      <c r="E243" t="s">
        <v>542</v>
      </c>
      <c r="G243" t="s">
        <v>543</v>
      </c>
      <c r="H243" t="s">
        <v>106</v>
      </c>
      <c r="J243" t="s">
        <v>31</v>
      </c>
      <c r="L243" t="inlineStr">
        <is>
          <t>M-</t>
        </is>
      </c>
    </row>
    <row r="244" spans="1:26" ht="21" customHeight="1">
      <c r="A244" t="s">
        <v>544</v>
      </c>
      <c r="B244" t="s">
        <v>62</v>
      </c>
      <c r="C244">
        <v>243</v>
      </c>
      <c r="D244">
        <v>237</v>
      </c>
      <c r="E244" t="s">
        <v>545</v>
      </c>
      <c r="I244" t="s">
        <v>31</v>
      </c>
    </row>
    <row r="245" spans="1:26" ht="21" customHeight="1">
      <c r="A245" t="s">
        <v>544</v>
      </c>
      <c r="B245" t="s">
        <v>62</v>
      </c>
      <c r="C245">
        <v>244</v>
      </c>
      <c r="D245">
        <v>238</v>
      </c>
      <c r="E245" t="s">
        <v>546</v>
      </c>
      <c r="G245" t="s">
        <v>547</v>
      </c>
      <c r="I245" t="s">
        <v>31</v>
      </c>
    </row>
    <row r="246" spans="1:26" ht="21" customHeight="1">
      <c r="A246" t="s">
        <v>544</v>
      </c>
      <c r="B246" t="s">
        <v>64</v>
      </c>
      <c r="C246">
        <v>245</v>
      </c>
      <c r="D246">
        <v>239</v>
      </c>
      <c r="E246" t="s">
        <v>548</v>
      </c>
      <c r="I246" t="s">
        <v>31</v>
      </c>
    </row>
    <row r="247" spans="1:26" ht="21" customHeight="1">
      <c r="A247" t="s">
        <v>544</v>
      </c>
      <c r="B247" t="s">
        <v>94</v>
      </c>
      <c r="C247">
        <v>246</v>
      </c>
      <c r="D247">
        <v>240</v>
      </c>
      <c r="E247" t="s">
        <v>549</v>
      </c>
      <c r="F247" t="s">
        <v>5</v>
      </c>
      <c r="G247" t="s">
        <v>550</v>
      </c>
      <c r="H247" t="s">
        <v>106</v>
      </c>
      <c r="I247" t="s">
        <v>31</v>
      </c>
      <c r="J247" t="s">
        <v>31</v>
      </c>
      <c r="K247" t="s">
        <v>209</v>
      </c>
      <c r="L247" t="inlineStr">
        <is>
          <t>M-</t>
        </is>
      </c>
      <c r="M247" t="s">
        <v>379</v>
      </c>
      <c r="P247" t="s">
        <v>15</v>
      </c>
      <c r="R247" t="s">
        <v>551</v>
      </c>
    </row>
    <row r="248" spans="1:26" ht="21" customHeight="1">
      <c r="A248" t="s">
        <v>544</v>
      </c>
      <c r="B248" t="s">
        <v>86</v>
      </c>
      <c r="C248">
        <v>247</v>
      </c>
      <c r="D248">
        <v>241</v>
      </c>
      <c r="E248" t="s">
        <v>552</v>
      </c>
      <c r="I248" t="s">
        <v>31</v>
      </c>
      <c r="L248" t="inlineStr">
        <is>
          <t>M-</t>
        </is>
      </c>
    </row>
    <row r="249" spans="1:26" ht="21" customHeight="1">
      <c r="A249" t="s">
        <v>544</v>
      </c>
      <c r="B249" t="s">
        <v>94</v>
      </c>
      <c r="C249">
        <v>248</v>
      </c>
      <c r="D249">
        <v>242</v>
      </c>
      <c r="E249" t="s">
        <v>553</v>
      </c>
      <c r="F249" t="s">
        <v>5</v>
      </c>
      <c r="G249" t="s">
        <v>554</v>
      </c>
      <c r="H249" t="s">
        <v>106</v>
      </c>
      <c r="I249" t="s">
        <v>31</v>
      </c>
      <c r="J249" t="s">
        <v>31</v>
      </c>
      <c r="K249" t="s">
        <v>216</v>
      </c>
      <c r="L249" t="inlineStr">
        <is>
          <t>M-</t>
        </is>
      </c>
      <c r="M249" t="s">
        <v>379</v>
      </c>
      <c r="P249" t="s">
        <v>15</v>
      </c>
      <c r="R249" t="s">
        <v>555</v>
      </c>
    </row>
    <row r="250" spans="1:26" ht="21" customHeight="1">
      <c r="A250" t="s">
        <v>544</v>
      </c>
      <c r="B250" t="s">
        <v>64</v>
      </c>
      <c r="C250">
        <v>249</v>
      </c>
      <c r="D250">
        <v>244</v>
      </c>
      <c r="E250" t="s">
        <v>556</v>
      </c>
      <c r="J250" t="s">
        <v>31</v>
      </c>
    </row>
    <row r="251" spans="1:26" ht="21" customHeight="1">
      <c r="A251" t="s">
        <v>544</v>
      </c>
      <c r="B251" t="s">
        <v>64</v>
      </c>
      <c r="C251">
        <v>250</v>
      </c>
      <c r="D251">
        <v>245</v>
      </c>
      <c r="E251" t="s">
        <v>557</v>
      </c>
      <c r="G251" t="s">
        <v>558</v>
      </c>
      <c r="J251" t="s">
        <v>31</v>
      </c>
      <c r="O251" t="s">
        <v>14</v>
      </c>
    </row>
    <row r="252" spans="1:26" ht="21" customHeight="1">
      <c r="A252" t="s">
        <v>544</v>
      </c>
      <c r="B252" t="s">
        <v>64</v>
      </c>
      <c r="C252">
        <v>251</v>
      </c>
      <c r="D252">
        <v>246</v>
      </c>
      <c r="E252" t="s">
        <v>559</v>
      </c>
      <c r="G252" t="s">
        <v>558</v>
      </c>
      <c r="J252" t="s">
        <v>31</v>
      </c>
      <c r="O252" t="s">
        <v>14</v>
      </c>
    </row>
    <row r="253" spans="1:26" ht="21" customHeight="1">
      <c r="A253" t="s">
        <v>544</v>
      </c>
      <c r="B253" t="s">
        <v>64</v>
      </c>
      <c r="C253">
        <v>252</v>
      </c>
      <c r="D253">
        <v>247</v>
      </c>
      <c r="E253" t="s">
        <v>560</v>
      </c>
      <c r="G253" t="s">
        <v>353</v>
      </c>
      <c r="I253" t="s">
        <v>31</v>
      </c>
      <c r="L253" t="inlineStr">
        <is>
          <t>M-</t>
        </is>
      </c>
      <c r="O253" t="s">
        <v>14</v>
      </c>
    </row>
    <row r="254" spans="1:26" ht="21" customHeight="1">
      <c r="A254" t="s">
        <v>544</v>
      </c>
      <c r="B254" t="s">
        <v>64</v>
      </c>
      <c r="C254">
        <v>253</v>
      </c>
      <c r="D254">
        <v>248</v>
      </c>
      <c r="E254" t="s">
        <v>561</v>
      </c>
      <c r="K254" t="s">
        <v>212</v>
      </c>
    </row>
    <row r="255" spans="1:26" ht="21" customHeight="1">
      <c r="A255" t="s">
        <v>544</v>
      </c>
      <c r="B255" t="s">
        <v>62</v>
      </c>
      <c r="C255">
        <v>254</v>
      </c>
      <c r="D255">
        <v>249</v>
      </c>
      <c r="E255" t="s">
        <v>562</v>
      </c>
      <c r="L255" t="inlineStr">
        <is>
          <t>M-</t>
        </is>
      </c>
    </row>
    <row r="256" spans="1:26" ht="21" customHeight="1">
      <c r="A256" t="s">
        <v>544</v>
      </c>
      <c r="B256" t="s">
        <v>62</v>
      </c>
      <c r="C256">
        <v>255</v>
      </c>
      <c r="D256">
        <v>250</v>
      </c>
      <c r="E256" t="s">
        <v>563</v>
      </c>
      <c r="G256" t="s">
        <v>564</v>
      </c>
      <c r="L256" t="inlineStr">
        <is>
          <t>M-</t>
        </is>
      </c>
    </row>
    <row r="257" spans="1:26" ht="21" customHeight="1">
      <c r="A257" t="s">
        <v>544</v>
      </c>
      <c r="B257" t="s">
        <v>38</v>
      </c>
      <c r="C257">
        <v>256</v>
      </c>
      <c r="D257">
        <v>251</v>
      </c>
      <c r="E257" t="s">
        <v>565</v>
      </c>
      <c r="J257"/>
    </row>
    <row r="258" spans="1:26" ht="21" customHeight="1">
      <c r="A258" t="s">
        <v>544</v>
      </c>
      <c r="B258" t="s">
        <v>130</v>
      </c>
      <c r="C258">
        <v>257</v>
      </c>
      <c r="D258">
        <v>252</v>
      </c>
      <c r="E258" t="s">
        <v>566</v>
      </c>
      <c r="G258" t="s">
        <v>567</v>
      </c>
      <c r="I258"/>
      <c r="L258" t="inlineStr">
        <is>
          <t>M-</t>
        </is>
      </c>
    </row>
    <row r="259" spans="1:26" ht="21" customHeight="1">
      <c r="A259" t="s">
        <v>544</v>
      </c>
      <c r="B259" t="s">
        <v>64</v>
      </c>
      <c r="C259">
        <v>258</v>
      </c>
      <c r="D259">
        <v>253</v>
      </c>
      <c r="E259" t="s">
        <v>568</v>
      </c>
      <c r="J259" t="s">
        <v>31</v>
      </c>
    </row>
    <row r="260" spans="1:26" ht="21" customHeight="1">
      <c r="A260" t="s">
        <v>544</v>
      </c>
      <c r="B260" t="s">
        <v>64</v>
      </c>
      <c r="C260">
        <v>259</v>
      </c>
      <c r="D260">
        <v>254</v>
      </c>
      <c r="E260" t="s">
        <v>569</v>
      </c>
      <c r="J260" t="s">
        <v>31</v>
      </c>
      <c r="T260" t="s">
        <v>570</v>
      </c>
    </row>
    <row r="261" spans="1:26" ht="21" customHeight="1">
      <c r="A261" t="s">
        <v>544</v>
      </c>
      <c r="B261" t="s">
        <v>64</v>
      </c>
      <c r="C261">
        <v>260</v>
      </c>
      <c r="D261">
        <v>255</v>
      </c>
      <c r="E261" t="s">
        <v>571</v>
      </c>
      <c r="J261" t="s">
        <v>31</v>
      </c>
      <c r="O261" t="s">
        <v>14</v>
      </c>
      <c r="T261" t="s">
        <v>570</v>
      </c>
    </row>
    <row r="262" spans="1:26" ht="21" customHeight="1">
      <c r="A262" t="s">
        <v>544</v>
      </c>
      <c r="B262" t="s">
        <v>120</v>
      </c>
      <c r="C262">
        <v>261</v>
      </c>
      <c r="D262">
        <v>256</v>
      </c>
      <c r="E262" t="s">
        <v>572</v>
      </c>
      <c r="G262" t="s">
        <v>573</v>
      </c>
      <c r="L262" t="inlineStr">
        <is>
          <t>M-</t>
        </is>
      </c>
    </row>
    <row r="263" spans="1:26" ht="21" customHeight="1">
      <c r="A263" t="s">
        <v>544</v>
      </c>
      <c r="B263" t="s">
        <v>64</v>
      </c>
      <c r="C263">
        <v>262</v>
      </c>
      <c r="D263">
        <v>257</v>
      </c>
      <c r="E263" t="s">
        <v>574</v>
      </c>
      <c r="H263" t="s">
        <v>106</v>
      </c>
      <c r="J263" t="s">
        <v>31</v>
      </c>
      <c r="K263" t="s">
        <v>200</v>
      </c>
      <c r="R263" t="s">
        <v>575</v>
      </c>
    </row>
    <row r="264" spans="1:26" ht="21" customHeight="1">
      <c r="A264" t="s">
        <v>544</v>
      </c>
      <c r="B264" t="s">
        <v>64</v>
      </c>
      <c r="C264">
        <v>263</v>
      </c>
      <c r="D264">
        <v>258</v>
      </c>
      <c r="E264" t="s">
        <v>576</v>
      </c>
      <c r="I264" t="s">
        <v>31</v>
      </c>
      <c r="J264"/>
    </row>
    <row r="265" spans="1:26" ht="21" customHeight="1">
      <c r="A265" t="s">
        <v>544</v>
      </c>
      <c r="B265" t="s">
        <v>62</v>
      </c>
      <c r="C265">
        <v>264</v>
      </c>
      <c r="D265">
        <v>259</v>
      </c>
      <c r="E265" t="s">
        <v>577</v>
      </c>
      <c r="G265" t="s">
        <v>578</v>
      </c>
      <c r="H265" t="s">
        <v>106</v>
      </c>
      <c r="J265" t="s">
        <v>31</v>
      </c>
      <c r="L265" t="inlineStr">
        <is>
          <t>M-</t>
        </is>
      </c>
      <c r="O265" t="s">
        <v>14</v>
      </c>
    </row>
    <row r="266" spans="1:26" ht="21" customHeight="1">
      <c r="A266" t="s">
        <v>544</v>
      </c>
      <c r="B266" t="s">
        <v>62</v>
      </c>
      <c r="C266">
        <v>265</v>
      </c>
      <c r="D266">
        <v>260</v>
      </c>
      <c r="E266" t="s">
        <v>579</v>
      </c>
      <c r="J266" t="s">
        <v>31</v>
      </c>
      <c r="R266" t="s">
        <v>580</v>
      </c>
    </row>
    <row r="267" spans="1:26" ht="21" customHeight="1">
      <c r="A267" t="s">
        <v>544</v>
      </c>
      <c r="B267" t="s">
        <v>62</v>
      </c>
      <c r="C267">
        <v>266</v>
      </c>
      <c r="D267">
        <v>261</v>
      </c>
      <c r="E267" t="s">
        <v>581</v>
      </c>
      <c r="G267" t="s">
        <v>582</v>
      </c>
      <c r="H267" t="s">
        <v>106</v>
      </c>
      <c r="J267" t="s">
        <v>31</v>
      </c>
      <c r="L267" t="inlineStr">
        <is>
          <t>M-</t>
        </is>
      </c>
      <c r="O267" t="s">
        <v>14</v>
      </c>
    </row>
    <row r="268" spans="1:26" ht="21" customHeight="1">
      <c r="A268" t="s">
        <v>544</v>
      </c>
      <c r="B268" t="s">
        <v>62</v>
      </c>
      <c r="C268">
        <v>267</v>
      </c>
      <c r="D268">
        <v>262</v>
      </c>
      <c r="E268" t="s">
        <v>583</v>
      </c>
      <c r="G268" t="s">
        <v>584</v>
      </c>
      <c r="H268" t="s">
        <v>106</v>
      </c>
      <c r="J268" t="s">
        <v>31</v>
      </c>
      <c r="L268" t="inlineStr">
        <is>
          <t>M-</t>
        </is>
      </c>
      <c r="O268" t="s">
        <v>14</v>
      </c>
    </row>
    <row r="269" spans="1:26" ht="21" customHeight="1">
      <c r="A269" t="s">
        <v>544</v>
      </c>
      <c r="B269" t="s">
        <v>62</v>
      </c>
      <c r="C269">
        <v>268</v>
      </c>
      <c r="D269">
        <v>263</v>
      </c>
      <c r="E269" t="s">
        <v>585</v>
      </c>
      <c r="H269" t="s">
        <v>106</v>
      </c>
      <c r="J269" t="s">
        <v>31</v>
      </c>
      <c r="L269" t="inlineStr">
        <is>
          <t>M-</t>
        </is>
      </c>
      <c r="O269" t="s">
        <v>14</v>
      </c>
    </row>
    <row r="270" spans="1:26" ht="21" customHeight="1">
      <c r="A270" t="s">
        <v>544</v>
      </c>
      <c r="B270" t="s">
        <v>68</v>
      </c>
      <c r="C270">
        <v>269</v>
      </c>
      <c r="D270">
        <v>264</v>
      </c>
      <c r="E270" t="s">
        <v>586</v>
      </c>
      <c r="I270" t="s">
        <v>31</v>
      </c>
      <c r="L270" t="inlineStr">
        <is>
          <t>M-</t>
        </is>
      </c>
    </row>
    <row r="271" spans="1:26" ht="21" customHeight="1">
      <c r="A271" t="s">
        <v>544</v>
      </c>
      <c r="B271" t="s">
        <v>34</v>
      </c>
      <c r="C271">
        <v>270</v>
      </c>
      <c r="D271">
        <v>265</v>
      </c>
      <c r="E271" t="s">
        <v>587</v>
      </c>
      <c r="G271" t="s">
        <v>588</v>
      </c>
      <c r="L271" t="inlineStr">
        <is>
          <t>M-</t>
        </is>
      </c>
      <c r="R271" t="s">
        <v>589</v>
      </c>
    </row>
    <row r="272" spans="1:26" ht="21" customHeight="1">
      <c r="A272" t="s">
        <v>544</v>
      </c>
      <c r="B272" t="s">
        <v>62</v>
      </c>
      <c r="C272">
        <v>271</v>
      </c>
      <c r="D272">
        <v>266</v>
      </c>
      <c r="E272" t="s">
        <v>590</v>
      </c>
      <c r="G272" t="s">
        <v>591</v>
      </c>
      <c r="L272" t="inlineStr">
        <is>
          <t>M-</t>
        </is>
      </c>
    </row>
    <row r="273" spans="1:26" ht="21" customHeight="1">
      <c r="A273" t="s">
        <v>544</v>
      </c>
      <c r="B273" t="s">
        <v>64</v>
      </c>
      <c r="C273">
        <v>272</v>
      </c>
      <c r="D273">
        <v>267</v>
      </c>
      <c r="E273" t="s">
        <v>592</v>
      </c>
    </row>
    <row r="274" spans="1:26" ht="21" customHeight="1">
      <c r="A274" t="s">
        <v>544</v>
      </c>
      <c r="B274" t="s">
        <v>38</v>
      </c>
      <c r="C274">
        <v>273</v>
      </c>
      <c r="D274">
        <v>268</v>
      </c>
      <c r="E274" t="s">
        <v>593</v>
      </c>
      <c r="G274" t="s">
        <v>594</v>
      </c>
      <c r="H274" t="s">
        <v>106</v>
      </c>
      <c r="I274" t="s">
        <v>31</v>
      </c>
      <c r="J274" t="s">
        <v>31</v>
      </c>
      <c r="K274" t="s">
        <v>196</v>
      </c>
      <c r="L274" t="inlineStr">
        <is>
          <t>M-</t>
        </is>
      </c>
      <c r="M274" t="s">
        <v>379</v>
      </c>
      <c r="O274" t="s">
        <v>14</v>
      </c>
    </row>
    <row r="275" spans="1:26" ht="21" customHeight="1">
      <c r="A275" t="s">
        <v>544</v>
      </c>
      <c r="B275" t="s">
        <v>68</v>
      </c>
      <c r="C275">
        <v>274</v>
      </c>
      <c r="D275">
        <v>269</v>
      </c>
      <c r="E275" t="s">
        <v>595</v>
      </c>
      <c r="G275" t="s">
        <v>596</v>
      </c>
      <c r="J275"/>
      <c r="R275" t="s">
        <v>597</v>
      </c>
      <c r="T275" t="s">
        <v>598</v>
      </c>
    </row>
    <row r="276" spans="1:26" ht="21" customHeight="1">
      <c r="A276" t="s">
        <v>544</v>
      </c>
      <c r="B276" t="s">
        <v>130</v>
      </c>
      <c r="C276">
        <v>275</v>
      </c>
      <c r="D276">
        <v>270</v>
      </c>
      <c r="E276" t="s">
        <v>599</v>
      </c>
      <c r="G276" t="s">
        <v>600</v>
      </c>
      <c r="I276" t="s">
        <v>31</v>
      </c>
      <c r="L276" t="inlineStr">
        <is>
          <t>M-</t>
        </is>
      </c>
    </row>
    <row r="277" spans="1:26" ht="21" customHeight="1">
      <c r="A277" t="s">
        <v>544</v>
      </c>
      <c r="B277" t="s">
        <v>424</v>
      </c>
      <c r="C277">
        <v>276</v>
      </c>
      <c r="D277">
        <v>271</v>
      </c>
      <c r="E277" t="s">
        <v>601</v>
      </c>
      <c r="K277" t="s">
        <v>203</v>
      </c>
    </row>
    <row r="278" spans="1:26" ht="21" customHeight="1">
      <c r="A278" t="s">
        <v>544</v>
      </c>
      <c r="B278" t="s">
        <v>86</v>
      </c>
      <c r="C278">
        <v>277</v>
      </c>
      <c r="D278">
        <v>272</v>
      </c>
      <c r="E278" t="s">
        <v>602</v>
      </c>
      <c r="G278" t="s">
        <v>603</v>
      </c>
      <c r="I278" t="s">
        <v>31</v>
      </c>
      <c r="L278" t="inlineStr">
        <is>
          <t>M-</t>
        </is>
      </c>
      <c r="O278" t="s">
        <v>14</v>
      </c>
      <c r="T278" t="s">
        <v>604</v>
      </c>
    </row>
    <row r="279" spans="1:26" ht="21" customHeight="1">
      <c r="A279" t="s">
        <v>544</v>
      </c>
      <c r="B279" t="s">
        <v>62</v>
      </c>
      <c r="C279">
        <v>278</v>
      </c>
      <c r="D279">
        <v>273</v>
      </c>
      <c r="E279" t="s">
        <v>605</v>
      </c>
      <c r="G279" t="s">
        <v>606</v>
      </c>
      <c r="J279" t="s">
        <v>31</v>
      </c>
    </row>
    <row r="280" spans="1:26" ht="21" customHeight="1">
      <c r="A280" t="s">
        <v>544</v>
      </c>
      <c r="B280" t="s">
        <v>64</v>
      </c>
      <c r="C280">
        <v>279</v>
      </c>
      <c r="D280">
        <v>274</v>
      </c>
      <c r="E280" t="s">
        <v>607</v>
      </c>
      <c r="I280" t="s">
        <v>31</v>
      </c>
      <c r="L280" t="inlineStr">
        <is>
          <t>M-</t>
        </is>
      </c>
    </row>
    <row r="281" spans="1:26" ht="21" customHeight="1">
      <c r="A281" t="s">
        <v>544</v>
      </c>
      <c r="B281" t="s">
        <v>64</v>
      </c>
      <c r="C281">
        <v>280</v>
      </c>
      <c r="D281">
        <v>275</v>
      </c>
      <c r="E281" t="s">
        <v>608</v>
      </c>
      <c r="G281" t="s">
        <v>609</v>
      </c>
      <c r="I281" t="s">
        <v>31</v>
      </c>
      <c r="L281" t="inlineStr">
        <is>
          <t>M-</t>
        </is>
      </c>
    </row>
    <row r="282" spans="1:26" ht="21" customHeight="1">
      <c r="A282" t="s">
        <v>544</v>
      </c>
      <c r="B282" t="s">
        <v>64</v>
      </c>
      <c r="C282">
        <v>281</v>
      </c>
      <c r="D282">
        <v>276</v>
      </c>
      <c r="E282" t="s">
        <v>610</v>
      </c>
      <c r="G282" t="s">
        <v>609</v>
      </c>
      <c r="I282" t="s">
        <v>31</v>
      </c>
      <c r="L282" t="inlineStr">
        <is>
          <t>M-</t>
        </is>
      </c>
    </row>
    <row r="283" spans="1:26" ht="21" customHeight="1">
      <c r="A283" t="s">
        <v>544</v>
      </c>
      <c r="B283" t="s">
        <v>64</v>
      </c>
      <c r="C283">
        <v>282</v>
      </c>
      <c r="D283">
        <v>277</v>
      </c>
      <c r="E283" t="s">
        <v>611</v>
      </c>
      <c r="G283" t="s">
        <v>609</v>
      </c>
      <c r="I283" t="s">
        <v>31</v>
      </c>
      <c r="L283" t="inlineStr">
        <is>
          <t>M-</t>
        </is>
      </c>
    </row>
    <row r="284" spans="1:26" ht="21" customHeight="1">
      <c r="A284" t="s">
        <v>544</v>
      </c>
      <c r="B284" t="s">
        <v>64</v>
      </c>
      <c r="C284">
        <v>283</v>
      </c>
      <c r="D284">
        <v>278</v>
      </c>
      <c r="E284" t="s">
        <v>612</v>
      </c>
      <c r="G284" t="s">
        <v>613</v>
      </c>
      <c r="I284" t="s">
        <v>31</v>
      </c>
      <c r="L284" t="inlineStr">
        <is>
          <t>M-</t>
        </is>
      </c>
    </row>
    <row r="285" spans="1:26" ht="21" customHeight="1">
      <c r="A285" t="s">
        <v>544</v>
      </c>
      <c r="B285" t="s">
        <v>38</v>
      </c>
      <c r="C285">
        <v>284</v>
      </c>
      <c r="D285">
        <v>279</v>
      </c>
      <c r="E285" t="s">
        <v>614</v>
      </c>
      <c r="J285" t="s">
        <v>31</v>
      </c>
      <c r="M285" t="s">
        <v>45</v>
      </c>
    </row>
    <row r="286" spans="1:26" ht="21" customHeight="1">
      <c r="A286" t="s">
        <v>544</v>
      </c>
      <c r="B286" t="s">
        <v>86</v>
      </c>
      <c r="C286">
        <v>285</v>
      </c>
      <c r="D286">
        <v>280</v>
      </c>
      <c r="E286" t="s">
        <v>615</v>
      </c>
      <c r="G286" t="s">
        <v>616</v>
      </c>
      <c r="I286" t="s">
        <v>31</v>
      </c>
    </row>
    <row r="287" spans="1:26" ht="21" customHeight="1">
      <c r="A287" t="s">
        <v>544</v>
      </c>
      <c r="B287" t="s">
        <v>62</v>
      </c>
      <c r="C287">
        <v>286</v>
      </c>
      <c r="D287">
        <v>281</v>
      </c>
      <c r="E287" t="s">
        <v>617</v>
      </c>
      <c r="I287" t="s">
        <v>31</v>
      </c>
    </row>
    <row r="288" spans="1:26" ht="21" customHeight="1">
      <c r="A288" t="s">
        <v>618</v>
      </c>
      <c r="B288" t="s">
        <v>62</v>
      </c>
      <c r="C288">
        <v>287</v>
      </c>
      <c r="D288">
        <v>282</v>
      </c>
      <c r="E288" t="s">
        <v>619</v>
      </c>
      <c r="G288" t="s">
        <v>620</v>
      </c>
      <c r="H288" t="s">
        <v>106</v>
      </c>
      <c r="K288" t="s">
        <v>192</v>
      </c>
    </row>
    <row r="289" spans="1:26" ht="21" customHeight="1">
      <c r="A289" t="s">
        <v>618</v>
      </c>
      <c r="B289" t="s">
        <v>62</v>
      </c>
      <c r="C289">
        <v>288</v>
      </c>
      <c r="D289">
        <v>283</v>
      </c>
      <c r="E289" t="s">
        <v>621</v>
      </c>
      <c r="H289" t="s">
        <v>31</v>
      </c>
      <c r="J289" t="s">
        <v>31</v>
      </c>
      <c r="L289" t="inlineStr">
        <is>
          <t>K-</t>
        </is>
      </c>
    </row>
    <row r="290" spans="1:26" ht="21" customHeight="1">
      <c r="A290" t="s">
        <v>618</v>
      </c>
      <c r="B290" t="s">
        <v>152</v>
      </c>
      <c r="C290">
        <v>289</v>
      </c>
      <c r="D290">
        <v>284</v>
      </c>
      <c r="E290" t="s">
        <v>622</v>
      </c>
      <c r="G290" t="s">
        <v>623</v>
      </c>
      <c r="M290" t="s">
        <v>379</v>
      </c>
    </row>
    <row r="291" spans="1:26" ht="21" customHeight="1">
      <c r="A291" t="s">
        <v>618</v>
      </c>
      <c r="B291" t="s">
        <v>62</v>
      </c>
      <c r="C291">
        <v>290</v>
      </c>
      <c r="D291">
        <v>285</v>
      </c>
      <c r="E291" t="s">
        <v>624</v>
      </c>
      <c r="J291" t="s">
        <v>31</v>
      </c>
    </row>
    <row r="292" spans="1:26" ht="21" customHeight="1">
      <c r="A292" t="s">
        <v>618</v>
      </c>
      <c r="B292" t="s">
        <v>89</v>
      </c>
      <c r="C292">
        <v>291</v>
      </c>
      <c r="D292">
        <v>286</v>
      </c>
      <c r="E292" t="s">
        <v>625</v>
      </c>
      <c r="G292" t="s">
        <v>626</v>
      </c>
      <c r="H292" t="s">
        <v>31</v>
      </c>
      <c r="K292" t="s">
        <v>30</v>
      </c>
      <c r="T292" t="s">
        <v>627</v>
      </c>
    </row>
    <row r="293" spans="1:25" ht="22.5" customHeight="1">
      <c r="A293" t="s">
        <v>618</v>
      </c>
      <c r="B293" t="s">
        <v>628</v>
      </c>
      <c r="C293">
        <v>292</v>
      </c>
      <c r="D293">
        <v>287</v>
      </c>
      <c r="E293" t="s">
        <v>629</v>
      </c>
      <c r="G293" t="s">
        <v>630</v>
      </c>
      <c r="K293" t="s">
        <v>187</v>
      </c>
      <c r="T293" t="s">
        <v>631</v>
      </c>
    </row>
    <row r="294" spans="1:25" ht="22.5" customHeight="1">
      <c r="A294" t="s">
        <v>632</v>
      </c>
      <c r="B294" t="s">
        <v>89</v>
      </c>
      <c r="C294">
        <v>293</v>
      </c>
      <c r="D294">
        <v>288</v>
      </c>
      <c r="E294" t="s">
        <v>633</v>
      </c>
      <c r="G294" t="s">
        <v>634</v>
      </c>
      <c r="I294" t="s">
        <v>31</v>
      </c>
      <c r="L294" t="inlineStr">
        <is>
          <t>K-</t>
        </is>
      </c>
      <c r="T294" t="s">
        <v>635</v>
      </c>
    </row>
  </sheetData>
  <autoFilter ref="A1:T294" xr:uid="{00000000-0001-0000-0000-000000000000}">
    <sortState xmlns:xlrd2="http://schemas.microsoft.com/office/spreadsheetml/2017/richdata2" ref="A2:Z290">
      <sortCondition ref="C1:C290"/>
    </sortState>
  </autoFilter>
  <phoneticPr fontId="1"/>
  <pageMargins left="0.23622047244094491" right="0.23622047244094491" top="0.74803149606299213" bottom="0.74803149606299213" header="0.31496062992125978" footer="0.3149606299212597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workbookViewId="0"/>
  </sheetViews>
  <sheetFormatPr baseColWidth="10" defaultRowHeight="16"/>
  <cols>
    <col min="1" max="1" width="5.83203125" customWidth="1"/>
    <col min="2" max="2" width="20" customWidth="1"/>
    <col min="3" max="7" width="2" customWidth="1"/>
    <col min="8" max="8" width="1.6640625" customWidth="1"/>
    <col min="9" max="9" width="5.83203125" customWidth="1"/>
    <col min="10" max="10" width="20" customWidth="1"/>
    <col min="11" max="15" width="2" customWidth="1"/>
  </cols>
  <sheetData>
    <row r="1" spans="1:15" ht="21" customHeight="1">
      <c r="A1" s="2" t="s">
        <v>636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15" ht="19.25" customHeight="1">
      <c r="A3" t="s">
        <v>26</v>
      </c>
      <c r="B3" t="s">
        <v>637</v>
      </c>
      <c r="C3">
        <v>1</v>
      </c>
      <c r="D3">
        <v>2</v>
      </c>
      <c r="E3">
        <v>3</v>
      </c>
      <c r="F3">
        <v>4</v>
      </c>
      <c r="G3">
        <v>5</v>
      </c>
      <c r="I3" t="s">
        <v>638</v>
      </c>
      <c r="J3" t="s">
        <v>279</v>
      </c>
      <c r="K3">
        <v>1</v>
      </c>
      <c r="L3">
        <v>2</v>
      </c>
      <c r="M3">
        <v>3</v>
      </c>
      <c r="N3">
        <v>4</v>
      </c>
      <c r="O3">
        <v>5</v>
      </c>
    </row>
    <row r="4" spans="1:15" ht="19.25" customHeight="1">
      <c r="A4" t="s">
        <v>26</v>
      </c>
      <c r="B4" t="s">
        <v>639</v>
      </c>
      <c r="C4">
        <v>1</v>
      </c>
      <c r="D4">
        <v>2</v>
      </c>
      <c r="E4">
        <v>3</v>
      </c>
      <c r="F4">
        <v>4</v>
      </c>
      <c r="G4">
        <v>5</v>
      </c>
      <c r="I4" t="s">
        <v>638</v>
      </c>
      <c r="J4" t="s">
        <v>275</v>
      </c>
      <c r="K4">
        <v>1</v>
      </c>
      <c r="L4">
        <v>2</v>
      </c>
      <c r="M4">
        <v>3</v>
      </c>
      <c r="N4">
        <v>4</v>
      </c>
      <c r="O4">
        <v>5</v>
      </c>
    </row>
    <row r="5" spans="1:15" ht="19.25" customHeight="1">
      <c r="A5" t="s">
        <v>26</v>
      </c>
      <c r="B5" t="s">
        <v>65</v>
      </c>
      <c r="C5">
        <v>1</v>
      </c>
      <c r="D5">
        <v>2</v>
      </c>
      <c r="E5">
        <v>3</v>
      </c>
      <c r="F5">
        <v>4</v>
      </c>
      <c r="G5">
        <v>5</v>
      </c>
      <c r="I5" t="s">
        <v>638</v>
      </c>
      <c r="J5" t="s">
        <v>281</v>
      </c>
      <c r="K5">
        <v>1</v>
      </c>
      <c r="L5">
        <v>2</v>
      </c>
      <c r="M5">
        <v>3</v>
      </c>
      <c r="N5">
        <v>4</v>
      </c>
      <c r="O5">
        <v>5</v>
      </c>
    </row>
    <row r="6" spans="1:15" ht="19.25" customHeight="1">
      <c r="A6" t="s">
        <v>26</v>
      </c>
      <c r="B6" t="s">
        <v>640</v>
      </c>
      <c r="C6">
        <v>1</v>
      </c>
      <c r="D6">
        <v>2</v>
      </c>
      <c r="E6">
        <v>3</v>
      </c>
      <c r="F6">
        <v>4</v>
      </c>
      <c r="G6">
        <v>5</v>
      </c>
      <c r="I6" t="s">
        <v>638</v>
      </c>
      <c r="J6" t="s">
        <v>283</v>
      </c>
      <c r="K6">
        <v>1</v>
      </c>
      <c r="L6">
        <v>2</v>
      </c>
      <c r="M6">
        <v>3</v>
      </c>
      <c r="N6">
        <v>4</v>
      </c>
      <c r="O6">
        <v>5</v>
      </c>
    </row>
    <row r="7" spans="1:15" ht="19.25" customHeight="1">
      <c r="A7" t="s">
        <v>26</v>
      </c>
      <c r="B7" t="s">
        <v>641</v>
      </c>
      <c r="C7">
        <v>1</v>
      </c>
      <c r="D7">
        <v>2</v>
      </c>
      <c r="E7">
        <v>3</v>
      </c>
      <c r="F7">
        <v>4</v>
      </c>
      <c r="G7">
        <v>5</v>
      </c>
      <c r="I7" t="s">
        <v>638</v>
      </c>
      <c r="J7" t="s">
        <v>642</v>
      </c>
      <c r="K7">
        <v>1</v>
      </c>
      <c r="L7">
        <v>2</v>
      </c>
      <c r="M7">
        <v>3</v>
      </c>
      <c r="N7">
        <v>4</v>
      </c>
      <c r="O7">
        <v>5</v>
      </c>
    </row>
    <row r="8" spans="1:15" ht="19.25" customHeight="1">
      <c r="A8" t="s">
        <v>26</v>
      </c>
      <c r="B8" t="s">
        <v>643</v>
      </c>
      <c r="C8">
        <v>1</v>
      </c>
      <c r="D8">
        <v>2</v>
      </c>
      <c r="E8">
        <v>3</v>
      </c>
      <c r="F8">
        <v>4</v>
      </c>
      <c r="G8">
        <v>5</v>
      </c>
      <c r="I8" t="s">
        <v>638</v>
      </c>
      <c r="J8" t="s">
        <v>644</v>
      </c>
      <c r="K8">
        <v>1</v>
      </c>
      <c r="L8">
        <v>2</v>
      </c>
      <c r="M8">
        <v>3</v>
      </c>
      <c r="N8">
        <v>4</v>
      </c>
      <c r="O8">
        <v>5</v>
      </c>
    </row>
    <row r="9" spans="1:15" ht="19.25" customHeight="1">
      <c r="A9" t="s">
        <v>544</v>
      </c>
      <c r="B9" t="s">
        <v>645</v>
      </c>
      <c r="C9">
        <v>1</v>
      </c>
      <c r="D9">
        <v>2</v>
      </c>
      <c r="E9">
        <v>3</v>
      </c>
      <c r="F9">
        <v>4</v>
      </c>
      <c r="G9">
        <v>5</v>
      </c>
      <c r="I9" t="s">
        <v>638</v>
      </c>
      <c r="J9" t="s">
        <v>303</v>
      </c>
      <c r="K9">
        <v>1</v>
      </c>
      <c r="L9">
        <v>2</v>
      </c>
      <c r="M9">
        <v>3</v>
      </c>
      <c r="N9">
        <v>4</v>
      </c>
      <c r="O9">
        <v>5</v>
      </c>
    </row>
    <row r="10" spans="1:15" ht="19.25" customHeight="1">
      <c r="A10" t="s">
        <v>544</v>
      </c>
      <c r="B10" t="s">
        <v>593</v>
      </c>
      <c r="C10">
        <v>1</v>
      </c>
      <c r="D10">
        <v>2</v>
      </c>
      <c r="E10">
        <v>3</v>
      </c>
      <c r="F10">
        <v>4</v>
      </c>
      <c r="G10">
        <v>5</v>
      </c>
      <c r="I10" t="s">
        <v>638</v>
      </c>
      <c r="J10" t="s">
        <v>646</v>
      </c>
      <c r="K10">
        <v>1</v>
      </c>
      <c r="L10">
        <v>2</v>
      </c>
      <c r="M10">
        <v>3</v>
      </c>
      <c r="N10">
        <v>4</v>
      </c>
      <c r="O10">
        <v>5</v>
      </c>
    </row>
    <row r="11" spans="1:15" ht="19.25" customHeight="1">
      <c r="A11" t="s">
        <v>544</v>
      </c>
      <c r="B11" t="s">
        <v>647</v>
      </c>
      <c r="C11">
        <v>1</v>
      </c>
      <c r="D11">
        <v>2</v>
      </c>
      <c r="E11">
        <v>3</v>
      </c>
      <c r="F11">
        <v>4</v>
      </c>
      <c r="G11">
        <v>5</v>
      </c>
      <c r="I11" t="s">
        <v>638</v>
      </c>
      <c r="J11" t="s">
        <v>648</v>
      </c>
      <c r="K11">
        <v>1</v>
      </c>
      <c r="L11">
        <v>2</v>
      </c>
      <c r="M11">
        <v>3</v>
      </c>
      <c r="N11">
        <v>4</v>
      </c>
      <c r="O11">
        <v>5</v>
      </c>
    </row>
    <row r="12" spans="1:15" ht="19.25" customHeight="1">
      <c r="A12" t="s">
        <v>544</v>
      </c>
      <c r="B12" t="s">
        <v>649</v>
      </c>
      <c r="C12">
        <v>1</v>
      </c>
      <c r="D12">
        <v>2</v>
      </c>
      <c r="E12">
        <v>3</v>
      </c>
      <c r="F12">
        <v>4</v>
      </c>
      <c r="G12">
        <v>5</v>
      </c>
      <c r="I12" t="s">
        <v>638</v>
      </c>
      <c r="J12" t="s">
        <v>334</v>
      </c>
      <c r="K12">
        <v>1</v>
      </c>
      <c r="L12">
        <v>2</v>
      </c>
      <c r="M12">
        <v>3</v>
      </c>
      <c r="N12">
        <v>4</v>
      </c>
      <c r="O12">
        <v>5</v>
      </c>
    </row>
    <row r="13" spans="1:15" ht="19.25" customHeight="1">
      <c r="A13" t="s">
        <v>544</v>
      </c>
      <c r="B13" t="s">
        <v>602</v>
      </c>
      <c r="C13">
        <v>1</v>
      </c>
      <c r="E13">
        <v>3</v>
      </c>
      <c r="G13">
        <v>5</v>
      </c>
      <c r="I13" t="s">
        <v>339</v>
      </c>
      <c r="J13" t="s">
        <v>650</v>
      </c>
      <c r="K13">
        <v>1</v>
      </c>
      <c r="M13">
        <v>3</v>
      </c>
    </row>
    <row r="14" spans="1:15" ht="19.25" customHeight="1">
      <c r="A14" t="s">
        <v>544</v>
      </c>
      <c r="B14" t="s">
        <v>574</v>
      </c>
      <c r="D14">
        <v>2</v>
      </c>
      <c r="F14">
        <v>4</v>
      </c>
      <c r="I14" t="s">
        <v>339</v>
      </c>
      <c r="J14" t="s">
        <v>651</v>
      </c>
      <c r="K14">
        <v>1</v>
      </c>
      <c r="L14">
        <v>2</v>
      </c>
      <c r="M14">
        <v>3</v>
      </c>
      <c r="N14">
        <v>4</v>
      </c>
      <c r="O14">
        <v>5</v>
      </c>
    </row>
    <row r="15" spans="1:15" ht="19.25" customHeight="1">
      <c r="A15" t="s">
        <v>544</v>
      </c>
      <c r="B15" t="s">
        <v>652</v>
      </c>
      <c r="C15">
        <v>1</v>
      </c>
      <c r="D15">
        <v>2</v>
      </c>
      <c r="E15">
        <v>3</v>
      </c>
      <c r="F15">
        <v>4</v>
      </c>
      <c r="G15">
        <v>5</v>
      </c>
      <c r="I15" t="s">
        <v>339</v>
      </c>
      <c r="J15" t="s">
        <v>352</v>
      </c>
      <c r="K15">
        <v>1</v>
      </c>
      <c r="L15">
        <v>2</v>
      </c>
      <c r="M15">
        <v>3</v>
      </c>
      <c r="N15">
        <v>4</v>
      </c>
      <c r="O15">
        <v>5</v>
      </c>
    </row>
    <row r="16" spans="1:15" ht="19.25" customHeight="1">
      <c r="A16" t="s">
        <v>544</v>
      </c>
      <c r="B16" t="s">
        <v>653</v>
      </c>
      <c r="C16">
        <v>1</v>
      </c>
      <c r="D16">
        <v>2</v>
      </c>
      <c r="E16">
        <v>3</v>
      </c>
      <c r="F16">
        <v>4</v>
      </c>
      <c r="G16">
        <v>5</v>
      </c>
      <c r="I16" t="s">
        <v>654</v>
      </c>
      <c r="J16" t="s">
        <v>655</v>
      </c>
      <c r="K16">
        <v>1</v>
      </c>
      <c r="L16">
        <v>2</v>
      </c>
      <c r="M16">
        <v>3</v>
      </c>
      <c r="N16">
        <v>4</v>
      </c>
      <c r="O16">
        <v>5</v>
      </c>
    </row>
    <row r="17" spans="1:15" ht="19.25" customHeight="1">
      <c r="A17" t="s">
        <v>544</v>
      </c>
      <c r="B17" t="s">
        <v>656</v>
      </c>
      <c r="C17">
        <v>1</v>
      </c>
      <c r="D17">
        <v>2</v>
      </c>
      <c r="E17">
        <v>3</v>
      </c>
      <c r="F17">
        <v>4</v>
      </c>
      <c r="G17">
        <v>5</v>
      </c>
      <c r="I17" t="s">
        <v>654</v>
      </c>
      <c r="J17" t="s">
        <v>657</v>
      </c>
      <c r="K17">
        <v>1</v>
      </c>
      <c r="L17">
        <v>2</v>
      </c>
      <c r="M17">
        <v>3</v>
      </c>
      <c r="N17">
        <v>4</v>
      </c>
      <c r="O17">
        <v>5</v>
      </c>
    </row>
    <row r="18" spans="1:15" ht="19.25" customHeight="1">
      <c r="A18" t="s">
        <v>544</v>
      </c>
      <c r="B18" t="s">
        <v>658</v>
      </c>
      <c r="C18">
        <v>1</v>
      </c>
      <c r="D18">
        <v>2</v>
      </c>
      <c r="E18">
        <v>3</v>
      </c>
      <c r="F18">
        <v>4</v>
      </c>
      <c r="G18">
        <v>5</v>
      </c>
      <c r="I18" t="s">
        <v>370</v>
      </c>
      <c r="J18" t="s">
        <v>659</v>
      </c>
      <c r="K18">
        <v>1</v>
      </c>
      <c r="L18">
        <v>2</v>
      </c>
      <c r="M18">
        <v>3</v>
      </c>
      <c r="N18">
        <v>4</v>
      </c>
      <c r="O18">
        <v>5</v>
      </c>
    </row>
    <row r="19" spans="1:15" ht="19.25" customHeight="1">
      <c r="A19" t="s">
        <v>544</v>
      </c>
      <c r="B19" t="s">
        <v>660</v>
      </c>
      <c r="C19">
        <v>1</v>
      </c>
      <c r="D19">
        <v>2</v>
      </c>
      <c r="E19">
        <v>3</v>
      </c>
      <c r="F19">
        <v>4</v>
      </c>
      <c r="G19">
        <v>5</v>
      </c>
      <c r="I19" t="s">
        <v>370</v>
      </c>
      <c r="J19" t="s">
        <v>661</v>
      </c>
      <c r="K19">
        <v>1</v>
      </c>
      <c r="L19">
        <v>2</v>
      </c>
      <c r="M19">
        <v>3</v>
      </c>
      <c r="N19">
        <v>4</v>
      </c>
      <c r="O19">
        <v>5</v>
      </c>
    </row>
    <row r="20" spans="1:15" ht="19.25" customHeight="1">
      <c r="A20" t="s">
        <v>544</v>
      </c>
      <c r="B20" t="s">
        <v>560</v>
      </c>
      <c r="C20">
        <v>1</v>
      </c>
      <c r="D20">
        <v>2</v>
      </c>
      <c r="E20">
        <v>3</v>
      </c>
      <c r="F20">
        <v>4</v>
      </c>
      <c r="G20">
        <v>5</v>
      </c>
      <c r="I20" t="s">
        <v>370</v>
      </c>
      <c r="J20" t="s">
        <v>405</v>
      </c>
      <c r="K20">
        <v>1</v>
      </c>
      <c r="L20">
        <v>2</v>
      </c>
      <c r="M20">
        <v>3</v>
      </c>
      <c r="N20">
        <v>4</v>
      </c>
      <c r="O20">
        <v>5</v>
      </c>
    </row>
    <row r="21" spans="1:15" ht="19.25" customHeight="1">
      <c r="A21" t="s">
        <v>544</v>
      </c>
      <c r="B21" t="s">
        <v>662</v>
      </c>
      <c r="C21">
        <v>1</v>
      </c>
      <c r="D21">
        <v>2</v>
      </c>
      <c r="E21">
        <v>3</v>
      </c>
      <c r="F21">
        <v>4</v>
      </c>
      <c r="G21">
        <v>5</v>
      </c>
      <c r="I21" t="s">
        <v>663</v>
      </c>
      <c r="J21" t="s">
        <v>664</v>
      </c>
      <c r="K21">
        <v>1</v>
      </c>
      <c r="L21">
        <v>2</v>
      </c>
      <c r="M21">
        <v>3</v>
      </c>
      <c r="N21">
        <v>4</v>
      </c>
      <c r="O21">
        <v>5</v>
      </c>
    </row>
    <row r="22" spans="1:15" ht="19.25" customHeight="1">
      <c r="A22" t="s">
        <v>665</v>
      </c>
      <c r="B22" t="s">
        <v>666</v>
      </c>
      <c r="C22">
        <v>1</v>
      </c>
      <c r="E22">
        <v>3</v>
      </c>
      <c r="I22" t="s">
        <v>663</v>
      </c>
      <c r="J22" t="s">
        <v>664</v>
      </c>
      <c r="K22">
        <v>1</v>
      </c>
      <c r="L22">
        <v>2</v>
      </c>
      <c r="M22">
        <v>3</v>
      </c>
      <c r="N22">
        <v>4</v>
      </c>
      <c r="O22">
        <v>5</v>
      </c>
    </row>
    <row r="23" spans="1:15" ht="19.25" customHeight="1">
      <c r="A23" t="s">
        <v>665</v>
      </c>
      <c r="B23" t="s">
        <v>667</v>
      </c>
      <c r="C23">
        <v>1</v>
      </c>
      <c r="D23">
        <v>2</v>
      </c>
      <c r="E23">
        <v>3</v>
      </c>
      <c r="F23">
        <v>4</v>
      </c>
      <c r="G23">
        <v>5</v>
      </c>
      <c r="I23" t="s">
        <v>663</v>
      </c>
      <c r="J23" t="s">
        <v>423</v>
      </c>
      <c r="K23">
        <v>1</v>
      </c>
      <c r="L23">
        <v>2</v>
      </c>
      <c r="M23">
        <v>3</v>
      </c>
      <c r="N23">
        <v>4</v>
      </c>
      <c r="O23">
        <v>5</v>
      </c>
    </row>
    <row r="24" spans="1:15" ht="19.25" customHeight="1">
      <c r="A24" t="s">
        <v>665</v>
      </c>
      <c r="B24" t="s">
        <v>165</v>
      </c>
      <c r="C24">
        <v>1</v>
      </c>
      <c r="I24" t="s">
        <v>522</v>
      </c>
      <c r="J24" t="s">
        <v>668</v>
      </c>
      <c r="K24">
        <v>1</v>
      </c>
      <c r="M24">
        <v>3</v>
      </c>
    </row>
    <row r="25" spans="1:15" ht="19.25" customHeight="1">
      <c r="A25" t="s">
        <v>665</v>
      </c>
      <c r="B25" t="s">
        <v>160</v>
      </c>
      <c r="C25">
        <v>1</v>
      </c>
      <c r="I25" t="s">
        <v>522</v>
      </c>
      <c r="J25" t="s">
        <v>535</v>
      </c>
      <c r="K25">
        <v>1</v>
      </c>
      <c r="M25">
        <v>3</v>
      </c>
    </row>
    <row r="26" spans="1:15" ht="19.25" customHeight="1">
      <c r="A26" t="s">
        <v>665</v>
      </c>
      <c r="B26" t="s">
        <v>172</v>
      </c>
      <c r="C26">
        <v>1</v>
      </c>
      <c r="D26">
        <v>2</v>
      </c>
      <c r="E26">
        <v>3</v>
      </c>
      <c r="F26">
        <v>4</v>
      </c>
      <c r="G26">
        <v>5</v>
      </c>
      <c r="I26" t="s">
        <v>522</v>
      </c>
      <c r="J26" t="s">
        <v>527</v>
      </c>
      <c r="K26">
        <v>1</v>
      </c>
      <c r="L26">
        <v>2</v>
      </c>
      <c r="M26">
        <v>3</v>
      </c>
      <c r="N26">
        <v>4</v>
      </c>
      <c r="O26">
        <v>5</v>
      </c>
    </row>
    <row r="27" spans="1:15" ht="19.25" customHeight="1">
      <c r="A27" t="s">
        <v>665</v>
      </c>
      <c r="B27" t="s">
        <v>188</v>
      </c>
      <c r="C27">
        <v>1</v>
      </c>
      <c r="D27">
        <v>2</v>
      </c>
      <c r="E27">
        <v>3</v>
      </c>
      <c r="F27">
        <v>4</v>
      </c>
      <c r="G27">
        <v>5</v>
      </c>
      <c r="I27" t="s">
        <v>522</v>
      </c>
      <c r="J27" t="s">
        <v>533</v>
      </c>
      <c r="K27">
        <v>1</v>
      </c>
      <c r="L27">
        <v>2</v>
      </c>
      <c r="M27">
        <v>3</v>
      </c>
      <c r="N27">
        <v>4</v>
      </c>
      <c r="O27">
        <v>5</v>
      </c>
    </row>
    <row r="28" spans="1:15" ht="19.25" customHeight="1">
      <c r="A28" t="s">
        <v>665</v>
      </c>
      <c r="B28" t="s">
        <v>190</v>
      </c>
      <c r="C28">
        <v>1</v>
      </c>
      <c r="D28">
        <v>2</v>
      </c>
      <c r="E28">
        <v>3</v>
      </c>
      <c r="F28">
        <v>4</v>
      </c>
      <c r="G28">
        <v>5</v>
      </c>
      <c r="I28" t="s">
        <v>522</v>
      </c>
      <c r="J28" t="s">
        <v>531</v>
      </c>
      <c r="K28">
        <v>1</v>
      </c>
      <c r="L28">
        <v>2</v>
      </c>
      <c r="M28">
        <v>3</v>
      </c>
      <c r="N28">
        <v>4</v>
      </c>
      <c r="O28">
        <v>5</v>
      </c>
    </row>
    <row r="29" spans="1:15" ht="19.25" customHeight="1">
      <c r="A29" t="s">
        <v>240</v>
      </c>
      <c r="B29" t="s">
        <v>669</v>
      </c>
      <c r="C29">
        <v>1</v>
      </c>
      <c r="D29">
        <v>2</v>
      </c>
      <c r="E29">
        <v>3</v>
      </c>
      <c r="F29">
        <v>4</v>
      </c>
      <c r="G29">
        <v>5</v>
      </c>
      <c r="I29" t="s">
        <v>522</v>
      </c>
      <c r="J29" t="s">
        <v>530</v>
      </c>
      <c r="K29">
        <v>1</v>
      </c>
      <c r="L29">
        <v>2</v>
      </c>
      <c r="M29">
        <v>3</v>
      </c>
      <c r="N29">
        <v>4</v>
      </c>
      <c r="O29">
        <v>5</v>
      </c>
    </row>
    <row r="30" spans="1:15" ht="19.25" customHeight="1">
      <c r="A30" t="s">
        <v>240</v>
      </c>
      <c r="B30" t="s">
        <v>258</v>
      </c>
      <c r="C30">
        <v>1</v>
      </c>
      <c r="D30">
        <v>2</v>
      </c>
      <c r="E30">
        <v>3</v>
      </c>
      <c r="F30">
        <v>4</v>
      </c>
      <c r="G30">
        <v>5</v>
      </c>
      <c r="I30" t="s">
        <v>500</v>
      </c>
      <c r="J30" t="s">
        <v>518</v>
      </c>
      <c r="K30">
        <v>1</v>
      </c>
      <c r="L30">
        <v>2</v>
      </c>
      <c r="M30">
        <v>3</v>
      </c>
      <c r="N30">
        <v>4</v>
      </c>
      <c r="O30">
        <v>5</v>
      </c>
    </row>
    <row r="31" spans="1:15" ht="19.25" customHeight="1">
      <c r="A31" t="s">
        <v>240</v>
      </c>
      <c r="B31" t="s">
        <v>670</v>
      </c>
      <c r="C31">
        <v>1</v>
      </c>
      <c r="D31">
        <v>2</v>
      </c>
      <c r="E31">
        <v>3</v>
      </c>
      <c r="F31">
        <v>4</v>
      </c>
      <c r="G31">
        <v>5</v>
      </c>
      <c r="I31" t="s">
        <v>500</v>
      </c>
      <c r="J31" t="s">
        <v>671</v>
      </c>
      <c r="K31">
        <v>1</v>
      </c>
      <c r="L31">
        <v>2</v>
      </c>
      <c r="M31">
        <v>3</v>
      </c>
      <c r="N31">
        <v>4</v>
      </c>
      <c r="O31">
        <v>5</v>
      </c>
    </row>
    <row r="32" spans="1:15" ht="19.25" customHeight="1">
      <c r="A32" t="s">
        <v>240</v>
      </c>
      <c r="B32" t="s">
        <v>237</v>
      </c>
      <c r="C32">
        <v>1</v>
      </c>
      <c r="D32">
        <v>2</v>
      </c>
      <c r="E32">
        <v>3</v>
      </c>
      <c r="F32">
        <v>4</v>
      </c>
      <c r="G32">
        <v>5</v>
      </c>
      <c r="I32" t="s">
        <v>500</v>
      </c>
      <c r="J32" t="s">
        <v>508</v>
      </c>
      <c r="K32">
        <v>1</v>
      </c>
      <c r="L32">
        <v>2</v>
      </c>
      <c r="M32">
        <v>3</v>
      </c>
      <c r="N32">
        <v>4</v>
      </c>
      <c r="O32">
        <v>5</v>
      </c>
    </row>
    <row r="33" spans="1:15" ht="19.25" customHeight="1">
      <c r="A33" t="s">
        <v>240</v>
      </c>
      <c r="B33" t="s">
        <v>239</v>
      </c>
      <c r="C33">
        <v>1</v>
      </c>
      <c r="D33">
        <v>2</v>
      </c>
      <c r="E33">
        <v>3</v>
      </c>
      <c r="F33">
        <v>4</v>
      </c>
      <c r="G33">
        <v>5</v>
      </c>
      <c r="I33" t="s">
        <v>500</v>
      </c>
      <c r="J33" t="s">
        <v>672</v>
      </c>
      <c r="K33">
        <v>1</v>
      </c>
      <c r="L33">
        <v>2</v>
      </c>
      <c r="M33">
        <v>3</v>
      </c>
      <c r="N33">
        <v>4</v>
      </c>
      <c r="O33">
        <v>5</v>
      </c>
    </row>
    <row r="34" spans="1:15" ht="19.25" customHeight="1">
      <c r="A34" t="s">
        <v>240</v>
      </c>
      <c r="B34" t="s">
        <v>673</v>
      </c>
      <c r="C34">
        <v>1</v>
      </c>
      <c r="D34">
        <v>2</v>
      </c>
      <c r="E34">
        <v>3</v>
      </c>
      <c r="F34">
        <v>4</v>
      </c>
      <c r="G34">
        <v>5</v>
      </c>
      <c r="I34" t="s">
        <v>488</v>
      </c>
      <c r="J34" t="s">
        <v>674</v>
      </c>
      <c r="K34">
        <v>1</v>
      </c>
      <c r="L34">
        <v>2</v>
      </c>
      <c r="M34">
        <v>3</v>
      </c>
      <c r="N34">
        <v>4</v>
      </c>
      <c r="O34">
        <v>5</v>
      </c>
    </row>
    <row r="35" spans="1:15" ht="19.25" customHeight="1">
      <c r="A35" t="s">
        <v>240</v>
      </c>
      <c r="B35" t="s">
        <v>675</v>
      </c>
      <c r="C35">
        <v>1</v>
      </c>
      <c r="D35">
        <v>2</v>
      </c>
      <c r="E35">
        <v>3</v>
      </c>
      <c r="F35">
        <v>4</v>
      </c>
      <c r="G35">
        <v>5</v>
      </c>
    </row>
    <row r="36" spans="1:15" ht="19.25" customHeight="1"/>
    <row r="37" spans="1:15" ht="19.25" customHeight="1"/>
    <row r="38" spans="1:15" ht="19.25" customHeight="1"/>
    <row r="39" spans="1:15" ht="19.25" customHeight="1"/>
  </sheetData>
  <mergeCells count="1">
    <mergeCell ref="A1:O1"/>
  </mergeCells>
  <phoneticPr fontId="1"/>
  <pageMargins left="0.70866141732283472" right="0.70866141732283472" top="0.74803149606299213" bottom="0.74803149606299213" header="0.31496062992125978" footer="0.3149606299212597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  <c r="V1" t="s">
        <v>0</v>
      </c>
      <c r="W1" t="s">
        <v>676</v>
      </c>
      <c r="Y1" t="s">
        <v>677</v>
      </c>
      <c r="Z1" t="s">
        <v>678</v>
      </c>
      <c r="AA1" t="s">
        <v>679</v>
      </c>
      <c r="AB1" t="s">
        <v>680</v>
      </c>
      <c r="AC1" t="s">
        <v>681</v>
      </c>
      <c r="AF1" t="s">
        <v>0</v>
      </c>
      <c r="AG1" t="s">
        <v>676</v>
      </c>
      <c r="AI1" t="s">
        <v>677</v>
      </c>
      <c r="AJ1" t="s">
        <v>678</v>
      </c>
      <c r="AK1" t="s">
        <v>679</v>
      </c>
      <c r="AL1" t="s">
        <v>680</v>
      </c>
      <c r="AM1" t="s">
        <v>681</v>
      </c>
    </row>
    <row r="2" spans="1:3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434</v>
      </c>
      <c r="W2" t="s">
        <v>682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274</v>
      </c>
      <c r="AG2" t="s">
        <v>642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434</v>
      </c>
      <c r="W3" t="s">
        <v>685</v>
      </c>
      <c r="X3" t="s">
        <v>686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274</v>
      </c>
      <c r="AG3" t="s">
        <v>291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450</v>
      </c>
      <c r="W4" t="s">
        <v>687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274</v>
      </c>
      <c r="AG4" t="s">
        <v>303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450</v>
      </c>
      <c r="W5" t="s">
        <v>455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274</v>
      </c>
      <c r="AG5" t="s">
        <v>309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35</v>
      </c>
      <c r="AB6">
        <v>4</v>
      </c>
      <c r="AE6">
        <v>38</v>
      </c>
      <c r="AF6" t="s">
        <v>274</v>
      </c>
      <c r="AG6" t="s">
        <v>688</v>
      </c>
      <c r="AH6" t="s">
        <v>684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36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339</v>
      </c>
      <c r="AG7" t="s">
        <v>690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691</v>
      </c>
      <c r="X8" t="s">
        <v>684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339</v>
      </c>
      <c r="AG8" t="s">
        <v>340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693</v>
      </c>
      <c r="X9" t="s">
        <v>684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339</v>
      </c>
      <c r="AG9" t="s">
        <v>343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695</v>
      </c>
      <c r="AB10">
        <v>4</v>
      </c>
      <c r="AE10">
        <v>42</v>
      </c>
      <c r="AF10" t="s">
        <v>339</v>
      </c>
      <c r="AG10" t="s">
        <v>352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643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370</v>
      </c>
      <c r="AG11" t="s">
        <v>697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544</v>
      </c>
      <c r="W12" t="s">
        <v>585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370</v>
      </c>
      <c r="AG12" t="s">
        <v>698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699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544</v>
      </c>
      <c r="W13" t="s">
        <v>700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370</v>
      </c>
      <c r="AG13" t="s">
        <v>701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544</v>
      </c>
      <c r="W14" t="s">
        <v>581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370</v>
      </c>
      <c r="AG14" t="s">
        <v>702</v>
      </c>
      <c r="AH14" t="s">
        <v>684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544</v>
      </c>
      <c r="W15" t="s">
        <v>577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370</v>
      </c>
      <c r="AG15" t="s">
        <v>405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544</v>
      </c>
      <c r="W16" t="s">
        <v>703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522</v>
      </c>
      <c r="AG16" t="s">
        <v>527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544</v>
      </c>
      <c r="W17" t="s">
        <v>571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522</v>
      </c>
      <c r="AG17" t="s">
        <v>531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  <c r="U18">
        <v>17</v>
      </c>
      <c r="V18" t="s">
        <v>544</v>
      </c>
      <c r="W18" t="s">
        <v>602</v>
      </c>
      <c r="Y18">
        <v>1</v>
      </c>
      <c r="AA18">
        <v>3</v>
      </c>
      <c r="AC18">
        <v>5</v>
      </c>
      <c r="AE18">
        <v>50</v>
      </c>
      <c r="AF18" t="s">
        <v>522</v>
      </c>
      <c r="AG18" t="s">
        <v>530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  <c r="U19">
        <v>18</v>
      </c>
      <c r="V19" t="s">
        <v>544</v>
      </c>
      <c r="W19" t="s">
        <v>560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522</v>
      </c>
      <c r="AG19" t="s">
        <v>533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697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544</v>
      </c>
      <c r="W20" t="s">
        <v>557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522</v>
      </c>
      <c r="AG20" t="s">
        <v>705</v>
      </c>
      <c r="AI20">
        <v>1</v>
      </c>
      <c r="AK20">
        <v>3</v>
      </c>
    </row>
    <row r="21" spans="1:3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698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544</v>
      </c>
      <c r="W21" t="s">
        <v>559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522</v>
      </c>
      <c r="AG21" t="s">
        <v>537</v>
      </c>
      <c r="AI21">
        <v>1</v>
      </c>
      <c r="AK21">
        <v>3</v>
      </c>
    </row>
    <row r="22" spans="1:3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701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110</v>
      </c>
      <c r="W22" t="s">
        <v>126</v>
      </c>
      <c r="Y22">
        <v>1</v>
      </c>
      <c r="AA22">
        <v>3</v>
      </c>
      <c r="AE22">
        <v>54</v>
      </c>
      <c r="AF22" t="s">
        <v>240</v>
      </c>
      <c r="AG22" t="s">
        <v>270</v>
      </c>
      <c r="AI22">
        <v>1</v>
      </c>
      <c r="AK22">
        <v>3</v>
      </c>
    </row>
    <row r="23" spans="1:3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702</v>
      </c>
      <c r="N23" t="s">
        <v>684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110</v>
      </c>
      <c r="W23" t="s">
        <v>135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240</v>
      </c>
      <c r="AG23" t="s">
        <v>683</v>
      </c>
      <c r="AH23" t="s">
        <v>684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370</v>
      </c>
      <c r="M24" t="s">
        <v>405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110</v>
      </c>
      <c r="W24" t="s">
        <v>165</v>
      </c>
      <c r="Y24">
        <v>1</v>
      </c>
      <c r="AE24">
        <v>56</v>
      </c>
      <c r="AF24" t="s">
        <v>240</v>
      </c>
      <c r="AG24" t="s">
        <v>232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585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110</v>
      </c>
      <c r="W25" t="s">
        <v>160</v>
      </c>
      <c r="Y25">
        <v>1</v>
      </c>
      <c r="AE25">
        <v>57</v>
      </c>
      <c r="AF25" t="s">
        <v>240</v>
      </c>
      <c r="AG25" t="s">
        <v>237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700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110</v>
      </c>
      <c r="W26" t="s">
        <v>190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240</v>
      </c>
      <c r="AG26" t="s">
        <v>228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581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110</v>
      </c>
      <c r="W27" t="s">
        <v>704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240</v>
      </c>
      <c r="AG27" t="s">
        <v>669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577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110</v>
      </c>
      <c r="W28" t="s">
        <v>186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240</v>
      </c>
      <c r="AG28" t="s">
        <v>689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703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110</v>
      </c>
      <c r="W29" t="s">
        <v>188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240</v>
      </c>
      <c r="AG29" t="s">
        <v>692</v>
      </c>
      <c r="AH29" t="s">
        <v>684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339</v>
      </c>
      <c r="C30" t="s">
        <v>690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571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110</v>
      </c>
      <c r="W30" t="s">
        <v>172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240</v>
      </c>
      <c r="AG30" t="s">
        <v>694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602</v>
      </c>
      <c r="O31">
        <v>1</v>
      </c>
      <c r="Q31">
        <v>3</v>
      </c>
      <c r="S31">
        <v>5</v>
      </c>
      <c r="U31">
        <v>30</v>
      </c>
      <c r="V31" t="s">
        <v>274</v>
      </c>
      <c r="W31" t="s">
        <v>706</v>
      </c>
      <c r="X31" t="s">
        <v>686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500</v>
      </c>
      <c r="AG31" t="s">
        <v>508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560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274</v>
      </c>
      <c r="W32" t="s">
        <v>707</v>
      </c>
      <c r="X32" t="s">
        <v>686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500</v>
      </c>
      <c r="AG32" t="s">
        <v>696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544</v>
      </c>
      <c r="M33" t="s">
        <v>557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274</v>
      </c>
      <c r="W33" t="s">
        <v>279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500</v>
      </c>
      <c r="AG33" t="s">
        <v>518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L34" t="s">
        <v>544</v>
      </c>
      <c r="M34" t="s">
        <v>559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274</v>
      </c>
      <c r="W34" t="s">
        <v>708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500</v>
      </c>
      <c r="AG34" t="s">
        <v>699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488</v>
      </c>
      <c r="M35" t="s">
        <v>489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488</v>
      </c>
      <c r="AG35" t="s">
        <v>489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709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709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</cols>
  <sheetData>
    <row r="1" spans="1:1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</row>
    <row r="2" spans="1:1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</row>
    <row r="3" spans="1:1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</row>
    <row r="4" spans="1:1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</row>
    <row r="5" spans="1:1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</row>
    <row r="6" spans="1:1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</row>
    <row r="7" spans="1:1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</row>
    <row r="8" spans="1:1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</row>
    <row r="9" spans="1:1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</row>
    <row r="10" spans="1:1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</row>
    <row r="11" spans="1:1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</row>
    <row r="12" spans="1:1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</row>
    <row r="13" spans="1:1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672</v>
      </c>
      <c r="O13">
        <v>1</v>
      </c>
      <c r="P13">
        <v>2</v>
      </c>
      <c r="Q13">
        <v>3</v>
      </c>
      <c r="R13">
        <v>4</v>
      </c>
      <c r="S13">
        <v>5</v>
      </c>
    </row>
    <row r="14" spans="1:1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</row>
    <row r="15" spans="1:1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</row>
    <row r="16" spans="1:1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</row>
    <row r="17" spans="1:1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</row>
    <row r="18" spans="1:1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</row>
    <row r="19" spans="1:1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</row>
    <row r="20" spans="1:1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698</v>
      </c>
      <c r="O20">
        <v>1</v>
      </c>
      <c r="P20">
        <v>2</v>
      </c>
      <c r="Q20">
        <v>3</v>
      </c>
      <c r="R20">
        <v>4</v>
      </c>
      <c r="S20">
        <v>5</v>
      </c>
    </row>
    <row r="21" spans="1:1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701</v>
      </c>
      <c r="O21">
        <v>1</v>
      </c>
      <c r="P21">
        <v>2</v>
      </c>
      <c r="Q21">
        <v>3</v>
      </c>
      <c r="R21">
        <v>4</v>
      </c>
      <c r="S21">
        <v>5</v>
      </c>
    </row>
    <row r="22" spans="1:1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702</v>
      </c>
      <c r="N22" t="s">
        <v>684</v>
      </c>
      <c r="O22">
        <v>1</v>
      </c>
      <c r="P22">
        <v>2</v>
      </c>
      <c r="Q22">
        <v>3</v>
      </c>
      <c r="R22">
        <v>4</v>
      </c>
      <c r="S22">
        <v>5</v>
      </c>
    </row>
    <row r="23" spans="1:1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405</v>
      </c>
      <c r="O23">
        <v>1</v>
      </c>
      <c r="P23">
        <v>2</v>
      </c>
      <c r="Q23">
        <v>3</v>
      </c>
      <c r="R23">
        <v>4</v>
      </c>
      <c r="S23">
        <v>5</v>
      </c>
    </row>
    <row r="24" spans="1:1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544</v>
      </c>
      <c r="M24" t="s">
        <v>585</v>
      </c>
      <c r="O24">
        <v>1</v>
      </c>
      <c r="P24">
        <v>2</v>
      </c>
      <c r="Q24">
        <v>3</v>
      </c>
      <c r="R24">
        <v>4</v>
      </c>
      <c r="S24">
        <v>5</v>
      </c>
    </row>
    <row r="25" spans="1:1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700</v>
      </c>
      <c r="O25">
        <v>1</v>
      </c>
      <c r="P25">
        <v>2</v>
      </c>
      <c r="Q25">
        <v>3</v>
      </c>
      <c r="R25">
        <v>4</v>
      </c>
      <c r="S25">
        <v>5</v>
      </c>
    </row>
    <row r="26" spans="1:1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581</v>
      </c>
      <c r="O26">
        <v>1</v>
      </c>
      <c r="P26">
        <v>2</v>
      </c>
      <c r="Q26">
        <v>3</v>
      </c>
      <c r="R26">
        <v>4</v>
      </c>
      <c r="S26">
        <v>5</v>
      </c>
    </row>
    <row r="27" spans="1:1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577</v>
      </c>
      <c r="O27">
        <v>1</v>
      </c>
      <c r="P27">
        <v>2</v>
      </c>
      <c r="Q27">
        <v>3</v>
      </c>
      <c r="R27">
        <v>4</v>
      </c>
      <c r="S27">
        <v>5</v>
      </c>
    </row>
    <row r="28" spans="1:1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571</v>
      </c>
      <c r="O28">
        <v>1</v>
      </c>
      <c r="P28">
        <v>2</v>
      </c>
      <c r="Q28">
        <v>3</v>
      </c>
      <c r="R28">
        <v>4</v>
      </c>
      <c r="S28">
        <v>5</v>
      </c>
    </row>
    <row r="29" spans="1:1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602</v>
      </c>
      <c r="O29">
        <v>1</v>
      </c>
      <c r="Q29">
        <v>3</v>
      </c>
      <c r="S29">
        <v>5</v>
      </c>
    </row>
    <row r="30" spans="1:19" ht="24.75" customHeight="1">
      <c r="A30">
        <v>29</v>
      </c>
      <c r="B30" t="s">
        <v>339</v>
      </c>
      <c r="C30" t="s">
        <v>690</v>
      </c>
      <c r="D30" t="s">
        <v>686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560</v>
      </c>
      <c r="O30">
        <v>1</v>
      </c>
      <c r="P30">
        <v>2</v>
      </c>
      <c r="Q30">
        <v>3</v>
      </c>
      <c r="R30">
        <v>4</v>
      </c>
      <c r="S30">
        <v>5</v>
      </c>
    </row>
    <row r="31" spans="1:1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557</v>
      </c>
      <c r="O31">
        <v>1</v>
      </c>
      <c r="P31">
        <v>2</v>
      </c>
      <c r="Q31">
        <v>3</v>
      </c>
      <c r="R31">
        <v>4</v>
      </c>
      <c r="S31">
        <v>5</v>
      </c>
    </row>
    <row r="32" spans="1:1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559</v>
      </c>
      <c r="O32">
        <v>1</v>
      </c>
      <c r="P32">
        <v>2</v>
      </c>
      <c r="Q32">
        <v>3</v>
      </c>
      <c r="R32">
        <v>4</v>
      </c>
      <c r="S32">
        <v>5</v>
      </c>
    </row>
    <row r="33" spans="1:1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488</v>
      </c>
      <c r="M33" t="s">
        <v>489</v>
      </c>
      <c r="O33">
        <v>1</v>
      </c>
      <c r="P33">
        <v>2</v>
      </c>
      <c r="Q33">
        <v>3</v>
      </c>
      <c r="R33">
        <v>4</v>
      </c>
      <c r="S33">
        <v>5</v>
      </c>
    </row>
    <row r="34" spans="1:1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M34" t="s">
        <v>710</v>
      </c>
      <c r="O34">
        <v>1</v>
      </c>
      <c r="P34">
        <v>2</v>
      </c>
      <c r="Q34">
        <v>3</v>
      </c>
      <c r="R34">
        <v>4</v>
      </c>
      <c r="S34">
        <v>5</v>
      </c>
    </row>
    <row r="35" spans="1:19" ht="21" customHeight="1">
      <c r="M35" t="s">
        <v>709</v>
      </c>
      <c r="O35">
        <f>COUNTIF($E$2:$S$34,"1")</f>
        <v>64</v>
      </c>
      <c r="P35">
        <f>COUNTIF($E$2:$S$34,"2")</f>
        <v>56</v>
      </c>
      <c r="Q35">
        <f>COUNTIF($E$2:$S$34,"3")</f>
        <v>62</v>
      </c>
      <c r="R35">
        <f>COUNTIF($E$2:$S$34,"4")</f>
        <v>58</v>
      </c>
      <c r="S35">
        <f>COUNTIF($E$2:$S$34,"5")</f>
        <v>57</v>
      </c>
    </row>
    <row r="36" spans="1:19" ht="21" customHeight="1"/>
    <row r="37" spans="1:19" ht="21" customHeight="1"/>
    <row r="38" spans="1:19" ht="36" customHeight="1"/>
    <row r="39" spans="1:19" ht="36" customHeight="1"/>
    <row r="40" spans="1:19" ht="36" customHeight="1"/>
    <row r="41" spans="1:1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  <c r="V1" t="s">
        <v>0</v>
      </c>
      <c r="W1" t="s">
        <v>676</v>
      </c>
      <c r="Y1" t="s">
        <v>677</v>
      </c>
      <c r="Z1" t="s">
        <v>678</v>
      </c>
      <c r="AA1" t="s">
        <v>679</v>
      </c>
      <c r="AB1" t="s">
        <v>680</v>
      </c>
      <c r="AC1" t="s">
        <v>681</v>
      </c>
      <c r="AF1" t="s">
        <v>0</v>
      </c>
      <c r="AG1" t="s">
        <v>676</v>
      </c>
      <c r="AI1" t="s">
        <v>677</v>
      </c>
      <c r="AJ1" t="s">
        <v>678</v>
      </c>
      <c r="AK1" t="s">
        <v>679</v>
      </c>
      <c r="AL1" t="s">
        <v>680</v>
      </c>
      <c r="AM1" t="s">
        <v>681</v>
      </c>
    </row>
    <row r="2" spans="1:3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434</v>
      </c>
      <c r="W2" t="s">
        <v>682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274</v>
      </c>
      <c r="AG2" t="s">
        <v>642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434</v>
      </c>
      <c r="W3" t="s">
        <v>685</v>
      </c>
      <c r="X3" t="s">
        <v>686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274</v>
      </c>
      <c r="AG3" t="s">
        <v>291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450</v>
      </c>
      <c r="W4" t="s">
        <v>687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274</v>
      </c>
      <c r="AG4" t="s">
        <v>303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450</v>
      </c>
      <c r="W5" t="s">
        <v>455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274</v>
      </c>
      <c r="AG5" t="s">
        <v>309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35</v>
      </c>
      <c r="AB6">
        <v>4</v>
      </c>
      <c r="AE6">
        <v>38</v>
      </c>
      <c r="AF6" t="s">
        <v>274</v>
      </c>
      <c r="AG6" t="s">
        <v>688</v>
      </c>
      <c r="AH6" t="s">
        <v>684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36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339</v>
      </c>
      <c r="AG7" t="s">
        <v>690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691</v>
      </c>
      <c r="X8" t="s">
        <v>684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339</v>
      </c>
      <c r="AG8" t="s">
        <v>340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693</v>
      </c>
      <c r="X9" t="s">
        <v>684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339</v>
      </c>
      <c r="AG9" t="s">
        <v>343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695</v>
      </c>
      <c r="AB10">
        <v>4</v>
      </c>
      <c r="AE10">
        <v>42</v>
      </c>
      <c r="AF10" t="s">
        <v>339</v>
      </c>
      <c r="AG10" t="s">
        <v>352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643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370</v>
      </c>
      <c r="AG11" t="s">
        <v>697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544</v>
      </c>
      <c r="W12" t="s">
        <v>585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370</v>
      </c>
      <c r="AG12" t="s">
        <v>698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699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544</v>
      </c>
      <c r="W13" t="s">
        <v>700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370</v>
      </c>
      <c r="AG13" t="s">
        <v>701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544</v>
      </c>
      <c r="W14" t="s">
        <v>581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370</v>
      </c>
      <c r="AG14" t="s">
        <v>702</v>
      </c>
      <c r="AH14" t="s">
        <v>684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544</v>
      </c>
      <c r="W15" t="s">
        <v>577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370</v>
      </c>
      <c r="AG15" t="s">
        <v>405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544</v>
      </c>
      <c r="W16" t="s">
        <v>703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522</v>
      </c>
      <c r="AG16" t="s">
        <v>527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544</v>
      </c>
      <c r="W17" t="s">
        <v>571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522</v>
      </c>
      <c r="AG17" t="s">
        <v>531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  <c r="U18">
        <v>17</v>
      </c>
      <c r="V18" t="s">
        <v>544</v>
      </c>
      <c r="W18" t="s">
        <v>602</v>
      </c>
      <c r="Y18">
        <v>1</v>
      </c>
      <c r="AA18">
        <v>3</v>
      </c>
      <c r="AC18">
        <v>5</v>
      </c>
      <c r="AE18">
        <v>50</v>
      </c>
      <c r="AF18" t="s">
        <v>522</v>
      </c>
      <c r="AG18" t="s">
        <v>530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  <c r="U19">
        <v>18</v>
      </c>
      <c r="V19" t="s">
        <v>544</v>
      </c>
      <c r="W19" t="s">
        <v>560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522</v>
      </c>
      <c r="AG19" t="s">
        <v>533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697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544</v>
      </c>
      <c r="W20" t="s">
        <v>557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522</v>
      </c>
      <c r="AG20" t="s">
        <v>705</v>
      </c>
      <c r="AI20">
        <v>1</v>
      </c>
      <c r="AK20">
        <v>3</v>
      </c>
    </row>
    <row r="21" spans="1:3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698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544</v>
      </c>
      <c r="W21" t="s">
        <v>559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522</v>
      </c>
      <c r="AG21" t="s">
        <v>537</v>
      </c>
      <c r="AI21">
        <v>1</v>
      </c>
      <c r="AK21">
        <v>3</v>
      </c>
    </row>
    <row r="22" spans="1:3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701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110</v>
      </c>
      <c r="W22" t="s">
        <v>126</v>
      </c>
      <c r="Y22">
        <v>1</v>
      </c>
      <c r="AA22">
        <v>3</v>
      </c>
      <c r="AE22">
        <v>54</v>
      </c>
      <c r="AF22" t="s">
        <v>240</v>
      </c>
      <c r="AG22" t="s">
        <v>270</v>
      </c>
      <c r="AI22">
        <v>1</v>
      </c>
      <c r="AK22">
        <v>3</v>
      </c>
    </row>
    <row r="23" spans="1:3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702</v>
      </c>
      <c r="N23" t="s">
        <v>684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110</v>
      </c>
      <c r="W23" t="s">
        <v>135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240</v>
      </c>
      <c r="AG23" t="s">
        <v>683</v>
      </c>
      <c r="AH23" t="s">
        <v>684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370</v>
      </c>
      <c r="M24" t="s">
        <v>405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110</v>
      </c>
      <c r="W24" t="s">
        <v>165</v>
      </c>
      <c r="Y24">
        <v>1</v>
      </c>
      <c r="AE24">
        <v>56</v>
      </c>
      <c r="AF24" t="s">
        <v>240</v>
      </c>
      <c r="AG24" t="s">
        <v>232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585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110</v>
      </c>
      <c r="W25" t="s">
        <v>160</v>
      </c>
      <c r="Y25">
        <v>1</v>
      </c>
      <c r="AE25">
        <v>57</v>
      </c>
      <c r="AF25" t="s">
        <v>240</v>
      </c>
      <c r="AG25" t="s">
        <v>237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700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110</v>
      </c>
      <c r="W26" t="s">
        <v>190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240</v>
      </c>
      <c r="AG26" t="s">
        <v>228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581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110</v>
      </c>
      <c r="W27" t="s">
        <v>704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240</v>
      </c>
      <c r="AG27" t="s">
        <v>669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577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110</v>
      </c>
      <c r="W28" t="s">
        <v>186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240</v>
      </c>
      <c r="AG28" t="s">
        <v>689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703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110</v>
      </c>
      <c r="W29" t="s">
        <v>188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240</v>
      </c>
      <c r="AG29" t="s">
        <v>692</v>
      </c>
      <c r="AH29" t="s">
        <v>684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339</v>
      </c>
      <c r="C30" t="s">
        <v>690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571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110</v>
      </c>
      <c r="W30" t="s">
        <v>172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240</v>
      </c>
      <c r="AG30" t="s">
        <v>694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602</v>
      </c>
      <c r="O31">
        <v>1</v>
      </c>
      <c r="Q31">
        <v>3</v>
      </c>
      <c r="S31">
        <v>5</v>
      </c>
      <c r="U31">
        <v>30</v>
      </c>
      <c r="V31" t="s">
        <v>274</v>
      </c>
      <c r="W31" t="s">
        <v>706</v>
      </c>
      <c r="X31" t="s">
        <v>686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500</v>
      </c>
      <c r="AG31" t="s">
        <v>508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560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274</v>
      </c>
      <c r="W32" t="s">
        <v>707</v>
      </c>
      <c r="X32" t="s">
        <v>686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500</v>
      </c>
      <c r="AG32" t="s">
        <v>696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544</v>
      </c>
      <c r="M33" t="s">
        <v>557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274</v>
      </c>
      <c r="W33" t="s">
        <v>279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500</v>
      </c>
      <c r="AG33" t="s">
        <v>518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L34" t="s">
        <v>544</v>
      </c>
      <c r="M34" t="s">
        <v>559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274</v>
      </c>
      <c r="W34" t="s">
        <v>708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500</v>
      </c>
      <c r="AG34" t="s">
        <v>699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488</v>
      </c>
      <c r="M35" t="s">
        <v>489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488</v>
      </c>
      <c r="AG35" t="s">
        <v>489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709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709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2"/>
  <sheetViews>
    <sheetView workbookViewId="0"/>
  </sheetViews>
  <sheetFormatPr baseColWidth="10" defaultRowHeight="16"/>
  <cols>
    <col min="1" max="1" width="2.5" customWidth="1"/>
    <col min="2" max="2" width="22" customWidth="1"/>
    <col min="3" max="3" width="2.5" customWidth="1"/>
    <col min="4" max="4" width="1.33203125" customWidth="1"/>
    <col min="5" max="5" width="2.5" customWidth="1"/>
    <col min="6" max="6" width="22" customWidth="1"/>
    <col min="7" max="8" width="2.5" customWidth="1"/>
    <col min="9" max="9" width="22" customWidth="1"/>
    <col min="10" max="10" width="2.5" customWidth="1"/>
    <col min="11" max="11" width="8.6640625" customWidth="1"/>
  </cols>
  <sheetData>
    <row r="1" spans="1:10" ht="21" customHeight="1">
      <c r="A1">
        <v>1</v>
      </c>
      <c r="B1" t="s">
        <v>493</v>
      </c>
      <c r="E1">
        <v>1</v>
      </c>
      <c r="F1" t="s">
        <v>529</v>
      </c>
      <c r="H1">
        <v>35</v>
      </c>
      <c r="I1" t="s">
        <v>711</v>
      </c>
    </row>
    <row r="2" spans="1:10" ht="21" customHeight="1">
      <c r="A2">
        <v>2</v>
      </c>
      <c r="B2" t="s">
        <v>712</v>
      </c>
      <c r="E2">
        <v>2</v>
      </c>
      <c r="F2" t="s">
        <v>713</v>
      </c>
      <c r="H2">
        <v>36</v>
      </c>
      <c r="I2" t="s">
        <v>714</v>
      </c>
      <c r="J2" t="s">
        <v>715</v>
      </c>
    </row>
    <row r="3" spans="1:10" ht="21" customHeight="1">
      <c r="A3">
        <v>3</v>
      </c>
      <c r="B3" t="s">
        <v>716</v>
      </c>
      <c r="E3">
        <v>3</v>
      </c>
      <c r="F3" t="s">
        <v>693</v>
      </c>
      <c r="G3" t="s">
        <v>715</v>
      </c>
      <c r="H3">
        <v>37</v>
      </c>
      <c r="I3" t="s">
        <v>717</v>
      </c>
      <c r="J3" t="s">
        <v>715</v>
      </c>
    </row>
    <row r="4" spans="1:10" ht="21" customHeight="1">
      <c r="A4">
        <v>4</v>
      </c>
      <c r="B4" t="s">
        <v>453</v>
      </c>
      <c r="E4">
        <v>4</v>
      </c>
      <c r="F4" t="s">
        <v>691</v>
      </c>
      <c r="G4" t="s">
        <v>715</v>
      </c>
      <c r="H4">
        <v>38</v>
      </c>
      <c r="I4" t="s">
        <v>263</v>
      </c>
      <c r="J4" t="s">
        <v>686</v>
      </c>
    </row>
    <row r="5" spans="1:10" ht="21" customHeight="1">
      <c r="A5">
        <v>5</v>
      </c>
      <c r="B5" t="s">
        <v>718</v>
      </c>
      <c r="C5" t="s">
        <v>715</v>
      </c>
      <c r="E5">
        <v>5</v>
      </c>
      <c r="F5" t="s">
        <v>112</v>
      </c>
      <c r="H5">
        <v>39</v>
      </c>
      <c r="I5" t="s">
        <v>252</v>
      </c>
      <c r="J5" t="s">
        <v>686</v>
      </c>
    </row>
    <row r="6" spans="1:10" ht="21" customHeight="1">
      <c r="A6">
        <v>6</v>
      </c>
      <c r="B6" t="s">
        <v>687</v>
      </c>
      <c r="E6">
        <v>6</v>
      </c>
      <c r="F6" t="s">
        <v>719</v>
      </c>
      <c r="H6">
        <v>40</v>
      </c>
      <c r="I6" t="s">
        <v>239</v>
      </c>
      <c r="J6" t="s">
        <v>715</v>
      </c>
    </row>
    <row r="7" spans="1:10" ht="21" customHeight="1">
      <c r="A7">
        <v>7</v>
      </c>
      <c r="B7" t="s">
        <v>720</v>
      </c>
      <c r="E7">
        <v>7</v>
      </c>
      <c r="F7" t="s">
        <v>721</v>
      </c>
      <c r="G7" t="s">
        <v>715</v>
      </c>
      <c r="H7">
        <v>41</v>
      </c>
      <c r="I7" t="s">
        <v>230</v>
      </c>
    </row>
    <row r="8" spans="1:10" ht="21" customHeight="1">
      <c r="A8">
        <v>8</v>
      </c>
      <c r="B8" t="s">
        <v>722</v>
      </c>
      <c r="E8">
        <v>8</v>
      </c>
      <c r="F8" t="s">
        <v>556</v>
      </c>
      <c r="H8">
        <v>42</v>
      </c>
      <c r="I8" t="s">
        <v>723</v>
      </c>
    </row>
    <row r="9" spans="1:10" ht="21" customHeight="1">
      <c r="E9">
        <v>9</v>
      </c>
      <c r="F9" t="s">
        <v>165</v>
      </c>
      <c r="H9">
        <v>43</v>
      </c>
      <c r="I9" t="s">
        <v>234</v>
      </c>
    </row>
    <row r="10" spans="1:10" ht="21" customHeight="1">
      <c r="A10">
        <v>10</v>
      </c>
      <c r="B10" t="s">
        <v>605</v>
      </c>
      <c r="E10">
        <v>10</v>
      </c>
      <c r="F10" t="s">
        <v>163</v>
      </c>
      <c r="H10">
        <v>44</v>
      </c>
      <c r="I10" t="s">
        <v>236</v>
      </c>
    </row>
    <row r="11" spans="1:10" ht="21" customHeight="1">
      <c r="A11">
        <v>11</v>
      </c>
      <c r="B11" t="s">
        <v>614</v>
      </c>
      <c r="E11">
        <v>11</v>
      </c>
      <c r="F11" t="s">
        <v>168</v>
      </c>
      <c r="H11">
        <v>45</v>
      </c>
      <c r="I11" t="s">
        <v>237</v>
      </c>
    </row>
    <row r="12" spans="1:10" ht="21" customHeight="1">
      <c r="A12">
        <v>12</v>
      </c>
      <c r="B12" t="s">
        <v>724</v>
      </c>
      <c r="E12">
        <v>12</v>
      </c>
      <c r="F12" t="s">
        <v>725</v>
      </c>
      <c r="G12" t="s">
        <v>715</v>
      </c>
      <c r="H12">
        <v>46</v>
      </c>
      <c r="I12" t="s">
        <v>251</v>
      </c>
    </row>
    <row r="13" spans="1:10" ht="21" customHeight="1">
      <c r="A13">
        <v>13</v>
      </c>
      <c r="B13" t="s">
        <v>647</v>
      </c>
      <c r="E13">
        <v>13</v>
      </c>
      <c r="F13" t="s">
        <v>176</v>
      </c>
      <c r="H13">
        <v>47</v>
      </c>
      <c r="I13" t="s">
        <v>228</v>
      </c>
    </row>
    <row r="14" spans="1:10" ht="21" customHeight="1">
      <c r="A14">
        <v>14</v>
      </c>
      <c r="B14" t="s">
        <v>593</v>
      </c>
      <c r="E14">
        <v>14</v>
      </c>
      <c r="F14" t="s">
        <v>726</v>
      </c>
      <c r="H14">
        <v>48</v>
      </c>
      <c r="I14" t="s">
        <v>727</v>
      </c>
      <c r="J14" t="s">
        <v>686</v>
      </c>
    </row>
    <row r="15" spans="1:10" ht="21" customHeight="1">
      <c r="A15">
        <v>15</v>
      </c>
      <c r="B15" t="s">
        <v>728</v>
      </c>
      <c r="E15">
        <v>15</v>
      </c>
      <c r="F15" t="s">
        <v>729</v>
      </c>
      <c r="H15">
        <v>49</v>
      </c>
      <c r="I15" t="s">
        <v>222</v>
      </c>
    </row>
    <row r="16" spans="1:10" ht="21" customHeight="1">
      <c r="A16">
        <v>16</v>
      </c>
      <c r="B16" t="s">
        <v>730</v>
      </c>
      <c r="E16">
        <v>16</v>
      </c>
      <c r="F16" t="s">
        <v>731</v>
      </c>
      <c r="H16">
        <v>50</v>
      </c>
      <c r="I16" t="s">
        <v>732</v>
      </c>
      <c r="J16" t="s">
        <v>686</v>
      </c>
    </row>
    <row r="17" spans="1:10" ht="21" customHeight="1">
      <c r="A17">
        <v>17</v>
      </c>
      <c r="B17" t="s">
        <v>571</v>
      </c>
      <c r="E17">
        <v>17</v>
      </c>
      <c r="F17" t="s">
        <v>733</v>
      </c>
      <c r="G17" t="s">
        <v>686</v>
      </c>
      <c r="H17">
        <v>51</v>
      </c>
      <c r="I17" t="s">
        <v>213</v>
      </c>
    </row>
    <row r="18" spans="1:10" ht="21" customHeight="1">
      <c r="A18">
        <v>18</v>
      </c>
      <c r="B18" t="s">
        <v>568</v>
      </c>
      <c r="E18">
        <v>18</v>
      </c>
      <c r="F18" t="s">
        <v>734</v>
      </c>
      <c r="G18" t="s">
        <v>686</v>
      </c>
      <c r="H18">
        <v>52</v>
      </c>
      <c r="I18" t="s">
        <v>211</v>
      </c>
      <c r="J18" t="s">
        <v>686</v>
      </c>
    </row>
    <row r="19" spans="1:10" ht="21" customHeight="1">
      <c r="A19">
        <v>19</v>
      </c>
      <c r="B19" t="s">
        <v>565</v>
      </c>
      <c r="E19">
        <v>19</v>
      </c>
      <c r="F19" t="s">
        <v>735</v>
      </c>
      <c r="H19">
        <v>53</v>
      </c>
      <c r="I19" t="s">
        <v>736</v>
      </c>
      <c r="J19" t="s">
        <v>715</v>
      </c>
    </row>
    <row r="20" spans="1:10" ht="21" customHeight="1">
      <c r="A20">
        <v>20</v>
      </c>
      <c r="B20" t="s">
        <v>549</v>
      </c>
      <c r="C20" t="s">
        <v>686</v>
      </c>
      <c r="E20">
        <v>20</v>
      </c>
      <c r="F20" t="s">
        <v>737</v>
      </c>
      <c r="H20">
        <v>54</v>
      </c>
      <c r="I20" t="s">
        <v>377</v>
      </c>
      <c r="J20" t="s">
        <v>686</v>
      </c>
    </row>
    <row r="21" spans="1:10" ht="21" customHeight="1">
      <c r="A21">
        <v>21</v>
      </c>
      <c r="B21" t="s">
        <v>553</v>
      </c>
      <c r="C21" t="s">
        <v>686</v>
      </c>
      <c r="E21">
        <v>21</v>
      </c>
      <c r="F21" t="s">
        <v>181</v>
      </c>
      <c r="H21">
        <v>55</v>
      </c>
      <c r="I21" t="s">
        <v>405</v>
      </c>
    </row>
    <row r="22" spans="1:10" ht="21" customHeight="1">
      <c r="A22">
        <v>22</v>
      </c>
      <c r="B22" t="s">
        <v>557</v>
      </c>
      <c r="E22">
        <v>22</v>
      </c>
      <c r="F22" t="s">
        <v>707</v>
      </c>
      <c r="G22" t="s">
        <v>686</v>
      </c>
      <c r="H22">
        <v>56</v>
      </c>
      <c r="I22" t="s">
        <v>409</v>
      </c>
    </row>
    <row r="23" spans="1:10" ht="21" customHeight="1">
      <c r="A23">
        <v>23</v>
      </c>
      <c r="B23" t="s">
        <v>559</v>
      </c>
      <c r="E23">
        <v>23</v>
      </c>
      <c r="F23" t="s">
        <v>279</v>
      </c>
      <c r="H23">
        <v>57</v>
      </c>
      <c r="I23" t="s">
        <v>738</v>
      </c>
      <c r="J23" t="s">
        <v>715</v>
      </c>
    </row>
    <row r="24" spans="1:10" ht="21" customHeight="1">
      <c r="A24">
        <v>24</v>
      </c>
      <c r="B24" t="s">
        <v>95</v>
      </c>
      <c r="C24" t="s">
        <v>686</v>
      </c>
      <c r="E24">
        <v>24</v>
      </c>
      <c r="F24" t="s">
        <v>706</v>
      </c>
      <c r="G24" t="s">
        <v>686</v>
      </c>
      <c r="H24">
        <v>58</v>
      </c>
      <c r="I24" t="s">
        <v>739</v>
      </c>
      <c r="J24" t="s">
        <v>686</v>
      </c>
    </row>
    <row r="25" spans="1:10" ht="21" customHeight="1">
      <c r="A25">
        <v>25</v>
      </c>
      <c r="B25" t="s">
        <v>442</v>
      </c>
      <c r="E25">
        <v>25</v>
      </c>
      <c r="F25" t="s">
        <v>740</v>
      </c>
      <c r="H25">
        <v>59</v>
      </c>
      <c r="I25" t="s">
        <v>741</v>
      </c>
    </row>
    <row r="26" spans="1:10" ht="21" customHeight="1">
      <c r="A26">
        <v>26</v>
      </c>
      <c r="B26" t="s">
        <v>440</v>
      </c>
      <c r="E26">
        <v>26</v>
      </c>
      <c r="F26" t="s">
        <v>284</v>
      </c>
      <c r="H26">
        <v>60</v>
      </c>
      <c r="I26" t="s">
        <v>428</v>
      </c>
      <c r="J26" t="s">
        <v>715</v>
      </c>
    </row>
    <row r="27" spans="1:10" ht="21" customHeight="1">
      <c r="A27">
        <v>27</v>
      </c>
      <c r="B27" t="s">
        <v>685</v>
      </c>
      <c r="C27" t="s">
        <v>686</v>
      </c>
      <c r="E27">
        <v>27</v>
      </c>
      <c r="F27" t="s">
        <v>642</v>
      </c>
      <c r="H27">
        <v>61</v>
      </c>
      <c r="I27" t="s">
        <v>423</v>
      </c>
    </row>
    <row r="28" spans="1:10" ht="21" customHeight="1">
      <c r="A28">
        <v>28</v>
      </c>
      <c r="B28" t="s">
        <v>435</v>
      </c>
      <c r="E28">
        <v>28</v>
      </c>
      <c r="F28" t="s">
        <v>742</v>
      </c>
      <c r="H28">
        <v>62</v>
      </c>
      <c r="I28" t="s">
        <v>743</v>
      </c>
    </row>
    <row r="29" spans="1:10" ht="21" customHeight="1">
      <c r="A29">
        <v>29</v>
      </c>
      <c r="B29" t="s">
        <v>542</v>
      </c>
      <c r="E29">
        <v>29</v>
      </c>
      <c r="F29" t="s">
        <v>291</v>
      </c>
      <c r="H29">
        <v>63</v>
      </c>
      <c r="I29" t="s">
        <v>744</v>
      </c>
    </row>
    <row r="30" spans="1:10" ht="21" customHeight="1">
      <c r="A30">
        <v>30</v>
      </c>
      <c r="B30" t="s">
        <v>745</v>
      </c>
      <c r="E30">
        <v>30</v>
      </c>
      <c r="F30" t="s">
        <v>303</v>
      </c>
      <c r="I30" t="s">
        <v>746</v>
      </c>
    </row>
    <row r="31" spans="1:10" ht="21" customHeight="1">
      <c r="A31">
        <v>31</v>
      </c>
      <c r="B31" t="s">
        <v>747</v>
      </c>
      <c r="E31">
        <v>31</v>
      </c>
      <c r="F31" t="s">
        <v>748</v>
      </c>
      <c r="G31" t="s">
        <v>715</v>
      </c>
    </row>
    <row r="32" spans="1:10" ht="21" customHeight="1">
      <c r="A32">
        <v>32</v>
      </c>
      <c r="B32" t="s">
        <v>90</v>
      </c>
      <c r="E32">
        <v>32</v>
      </c>
      <c r="F32" t="s">
        <v>749</v>
      </c>
      <c r="G32" t="s">
        <v>686</v>
      </c>
      <c r="I32" t="s">
        <v>750</v>
      </c>
    </row>
    <row r="33" spans="5:7" ht="21" customHeight="1">
      <c r="E33">
        <v>33</v>
      </c>
      <c r="F33" t="s">
        <v>751</v>
      </c>
      <c r="G33" t="s">
        <v>686</v>
      </c>
    </row>
    <row r="34" spans="5:7" ht="21" customHeight="1">
      <c r="E34">
        <v>34</v>
      </c>
      <c r="F34" t="s">
        <v>337</v>
      </c>
      <c r="G34" t="s">
        <v>686</v>
      </c>
    </row>
    <row r="35" spans="5:7" ht="21" customHeight="1"/>
    <row r="36" spans="5:7" ht="21" customHeight="1"/>
    <row r="37" spans="5:7" ht="21" customHeight="1"/>
    <row r="38" spans="5:7" ht="21" customHeight="1"/>
    <row r="39" spans="5:7" ht="21" customHeight="1"/>
    <row r="40" spans="5:7" ht="21" customHeight="1"/>
    <row r="41" spans="5:7" ht="21" customHeight="1"/>
    <row r="42" spans="5:7" ht="21" customHeight="1"/>
  </sheetData>
  <phoneticPr fontId="1"/>
  <pageMargins left="0.39370078740157483" right="0.39370078740157483" top="0.98425196850393704" bottom="0.39370078740157483" header="0.31496062992125978" footer="0.3149606299212597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3"/>
  <sheetViews>
    <sheetView workbookViewId="0"/>
  </sheetViews>
  <sheetFormatPr baseColWidth="10" defaultRowHeight="16"/>
  <cols>
    <col min="1" max="1" width="2.83203125" customWidth="1"/>
    <col min="2" max="2" width="6" customWidth="1"/>
    <col min="3" max="3" width="27" customWidth="1"/>
    <col min="4" max="4" width="4.5" customWidth="1"/>
    <col min="5" max="5" width="1.6640625" customWidth="1"/>
    <col min="6" max="6" width="2.83203125" customWidth="1"/>
    <col min="7" max="7" width="6" customWidth="1"/>
    <col min="8" max="8" width="27" customWidth="1"/>
    <col min="9" max="9" width="4.5" customWidth="1"/>
    <col min="10" max="10" width="8.83203125" customWidth="1"/>
  </cols>
  <sheetData>
    <row r="1" spans="1:9" ht="29.5" customHeight="1">
      <c r="A1" t="s">
        <v>752</v>
      </c>
    </row>
    <row r="2" spans="1:9" ht="29.5" customHeight="1"/>
    <row r="3" spans="1:9" ht="26.5" customHeight="1">
      <c r="A3">
        <v>1</v>
      </c>
      <c r="B3" t="s">
        <v>665</v>
      </c>
      <c r="C3" t="s">
        <v>753</v>
      </c>
      <c r="F3">
        <v>1</v>
      </c>
      <c r="G3" t="s">
        <v>420</v>
      </c>
      <c r="H3" t="s">
        <v>743</v>
      </c>
    </row>
    <row r="4" spans="1:9" ht="26.5" customHeight="1">
      <c r="A4">
        <v>2</v>
      </c>
      <c r="B4" t="s">
        <v>26</v>
      </c>
      <c r="C4" t="s">
        <v>754</v>
      </c>
      <c r="D4" t="s">
        <v>715</v>
      </c>
      <c r="F4">
        <v>2</v>
      </c>
      <c r="G4" t="s">
        <v>420</v>
      </c>
      <c r="H4" t="s">
        <v>428</v>
      </c>
    </row>
    <row r="5" spans="1:9" ht="26.5" customHeight="1">
      <c r="A5">
        <v>3</v>
      </c>
      <c r="B5" t="s">
        <v>26</v>
      </c>
      <c r="C5" t="s">
        <v>755</v>
      </c>
      <c r="D5" t="s">
        <v>715</v>
      </c>
      <c r="F5">
        <v>3</v>
      </c>
      <c r="G5" t="s">
        <v>420</v>
      </c>
      <c r="H5" t="s">
        <v>739</v>
      </c>
      <c r="I5" t="s">
        <v>715</v>
      </c>
    </row>
    <row r="6" spans="1:9" ht="26.5" customHeight="1">
      <c r="A6">
        <v>4</v>
      </c>
      <c r="B6" t="s">
        <v>26</v>
      </c>
      <c r="C6" t="s">
        <v>95</v>
      </c>
      <c r="D6" t="s">
        <v>686</v>
      </c>
      <c r="F6">
        <v>4</v>
      </c>
      <c r="G6" t="s">
        <v>370</v>
      </c>
      <c r="H6" t="s">
        <v>756</v>
      </c>
      <c r="I6" t="s">
        <v>715</v>
      </c>
    </row>
    <row r="7" spans="1:9" ht="26.5" customHeight="1">
      <c r="F7">
        <v>5</v>
      </c>
      <c r="G7" t="s">
        <v>370</v>
      </c>
      <c r="H7" t="s">
        <v>757</v>
      </c>
    </row>
    <row r="8" spans="1:9" ht="26.5" customHeight="1">
      <c r="A8">
        <v>6</v>
      </c>
      <c r="B8" t="s">
        <v>544</v>
      </c>
      <c r="C8" t="s">
        <v>593</v>
      </c>
      <c r="F8">
        <v>6</v>
      </c>
      <c r="G8" t="s">
        <v>370</v>
      </c>
      <c r="H8" t="s">
        <v>377</v>
      </c>
      <c r="I8" t="s">
        <v>686</v>
      </c>
    </row>
    <row r="9" spans="1:9" ht="26.5" customHeight="1">
      <c r="A9">
        <v>7</v>
      </c>
      <c r="B9" t="s">
        <v>544</v>
      </c>
      <c r="C9" t="s">
        <v>614</v>
      </c>
      <c r="F9">
        <v>7</v>
      </c>
      <c r="G9" t="s">
        <v>638</v>
      </c>
      <c r="H9" t="s">
        <v>714</v>
      </c>
      <c r="I9" t="s">
        <v>715</v>
      </c>
    </row>
    <row r="10" spans="1:9" ht="26.5" customHeight="1">
      <c r="A10">
        <v>8</v>
      </c>
      <c r="B10" t="s">
        <v>544</v>
      </c>
      <c r="C10" t="s">
        <v>553</v>
      </c>
      <c r="D10" t="s">
        <v>686</v>
      </c>
      <c r="F10">
        <v>8</v>
      </c>
      <c r="G10" t="s">
        <v>240</v>
      </c>
      <c r="H10" s="1" t="s">
        <v>265</v>
      </c>
      <c r="I10" t="s">
        <v>686</v>
      </c>
    </row>
    <row r="11" spans="1:9" ht="26.5" customHeight="1">
      <c r="A11">
        <v>9</v>
      </c>
      <c r="B11" t="s">
        <v>544</v>
      </c>
      <c r="C11" t="s">
        <v>549</v>
      </c>
      <c r="D11" t="s">
        <v>686</v>
      </c>
      <c r="F11">
        <v>9</v>
      </c>
      <c r="G11" t="s">
        <v>240</v>
      </c>
      <c r="H11" t="s">
        <v>263</v>
      </c>
    </row>
    <row r="12" spans="1:9" ht="26.5" customHeight="1">
      <c r="A12">
        <v>10</v>
      </c>
      <c r="B12" t="s">
        <v>665</v>
      </c>
      <c r="C12" t="s">
        <v>721</v>
      </c>
      <c r="D12" t="s">
        <v>715</v>
      </c>
      <c r="F12">
        <v>10</v>
      </c>
      <c r="G12" t="s">
        <v>638</v>
      </c>
      <c r="H12" t="s">
        <v>758</v>
      </c>
      <c r="I12" t="s">
        <v>686</v>
      </c>
    </row>
    <row r="13" spans="1:9" ht="26.5" customHeight="1">
      <c r="A13">
        <v>11</v>
      </c>
      <c r="B13" t="s">
        <v>665</v>
      </c>
      <c r="C13" t="s">
        <v>726</v>
      </c>
      <c r="F13">
        <v>11</v>
      </c>
      <c r="G13" t="s">
        <v>638</v>
      </c>
      <c r="H13" t="s">
        <v>748</v>
      </c>
      <c r="I13" t="s">
        <v>715</v>
      </c>
    </row>
    <row r="14" spans="1:9" ht="26.5" customHeight="1">
      <c r="A14">
        <v>12</v>
      </c>
      <c r="B14" t="s">
        <v>665</v>
      </c>
      <c r="C14" t="s">
        <v>759</v>
      </c>
      <c r="D14" t="s">
        <v>715</v>
      </c>
      <c r="F14">
        <v>12</v>
      </c>
      <c r="G14" t="s">
        <v>638</v>
      </c>
      <c r="H14" t="s">
        <v>320</v>
      </c>
      <c r="I14" t="s">
        <v>686</v>
      </c>
    </row>
    <row r="15" spans="1:9" ht="26.5" customHeight="1">
      <c r="A15">
        <v>13</v>
      </c>
      <c r="B15" t="s">
        <v>665</v>
      </c>
      <c r="C15" t="s">
        <v>725</v>
      </c>
      <c r="D15" t="s">
        <v>715</v>
      </c>
      <c r="F15">
        <v>13</v>
      </c>
      <c r="G15" t="s">
        <v>450</v>
      </c>
      <c r="H15" t="s">
        <v>760</v>
      </c>
      <c r="I15" t="s">
        <v>715</v>
      </c>
    </row>
    <row r="16" spans="1:9" ht="26.5" customHeight="1">
      <c r="A16">
        <v>14</v>
      </c>
      <c r="B16" t="s">
        <v>761</v>
      </c>
      <c r="C16" t="s">
        <v>252</v>
      </c>
      <c r="D16" t="s">
        <v>686</v>
      </c>
      <c r="F16">
        <v>14</v>
      </c>
      <c r="G16" t="s">
        <v>544</v>
      </c>
      <c r="H16" t="s">
        <v>453</v>
      </c>
    </row>
    <row r="17" spans="1:9" ht="26.5" customHeight="1">
      <c r="A17">
        <v>15</v>
      </c>
      <c r="B17" t="s">
        <v>761</v>
      </c>
      <c r="C17" t="s">
        <v>230</v>
      </c>
    </row>
    <row r="18" spans="1:9" ht="26.5" customHeight="1">
      <c r="A18">
        <v>16</v>
      </c>
      <c r="B18" t="s">
        <v>761</v>
      </c>
      <c r="C18" t="s">
        <v>220</v>
      </c>
      <c r="D18" t="s">
        <v>686</v>
      </c>
    </row>
    <row r="19" spans="1:9" ht="26.5" customHeight="1">
      <c r="A19">
        <v>17</v>
      </c>
      <c r="B19" t="s">
        <v>761</v>
      </c>
      <c r="C19" t="s">
        <v>222</v>
      </c>
    </row>
    <row r="20" spans="1:9" ht="26.5" customHeight="1">
      <c r="A20">
        <v>18</v>
      </c>
      <c r="B20" t="s">
        <v>761</v>
      </c>
      <c r="C20" t="s">
        <v>732</v>
      </c>
      <c r="D20" t="s">
        <v>686</v>
      </c>
    </row>
    <row r="21" spans="1:9" ht="26.5" customHeight="1">
      <c r="A21">
        <v>19</v>
      </c>
      <c r="B21" t="s">
        <v>761</v>
      </c>
      <c r="C21" t="s">
        <v>205</v>
      </c>
    </row>
    <row r="22" spans="1:9" ht="26.5" customHeight="1">
      <c r="A22">
        <v>20</v>
      </c>
      <c r="B22" t="s">
        <v>761</v>
      </c>
      <c r="C22" t="s">
        <v>692</v>
      </c>
      <c r="D22" t="s">
        <v>715</v>
      </c>
      <c r="F22" s="2" t="s">
        <v>762</v>
      </c>
      <c r="G22" s="2"/>
      <c r="H22" s="2"/>
      <c r="I22" s="2"/>
    </row>
    <row r="23" spans="1:9" ht="26.5" customHeight="1">
      <c r="A23">
        <v>21</v>
      </c>
      <c r="B23" t="s">
        <v>500</v>
      </c>
      <c r="C23" t="s">
        <v>518</v>
      </c>
      <c r="G23" t="s">
        <v>26</v>
      </c>
      <c r="H23" t="s">
        <v>763</v>
      </c>
    </row>
    <row r="24" spans="1:9" ht="26.5" customHeight="1">
      <c r="G24" t="s">
        <v>26</v>
      </c>
      <c r="H24" t="s">
        <v>764</v>
      </c>
    </row>
    <row r="25" spans="1:9" ht="26.5" customHeight="1">
      <c r="G25" t="s">
        <v>26</v>
      </c>
      <c r="H25" t="s">
        <v>765</v>
      </c>
    </row>
    <row r="26" spans="1:9" ht="26.5" customHeight="1"/>
    <row r="27" spans="1:9" ht="18.75" customHeight="1"/>
    <row r="28" spans="1:9" ht="18.75" customHeight="1"/>
    <row r="29" spans="1:9" ht="18.75" customHeight="1"/>
    <row r="30" spans="1:9" ht="18.75" customHeight="1"/>
    <row r="31" spans="1:9" ht="18.75" customHeight="1"/>
    <row r="32" spans="1:9" ht="18.75" customHeight="1"/>
    <row r="33" ht="18.75" customHeight="1"/>
  </sheetData>
  <mergeCells count="1">
    <mergeCell ref="F22:I22"/>
  </mergeCells>
  <phoneticPr fontId="1"/>
  <pageMargins left="0.19685039370078741" right="0.19685039370078741" top="0.39370078740157483" bottom="0.19685039370078741" header="0.31496062992125978" footer="0.3149606299212597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1"/>
  <sheetViews>
    <sheetView workbookViewId="0"/>
  </sheetViews>
  <sheetFormatPr baseColWidth="10" defaultRowHeight="16"/>
  <cols>
    <col min="1" max="1" width="4" customWidth="1"/>
    <col min="2" max="2" width="15.1640625" customWidth="1"/>
    <col min="3" max="3" width="44.1640625" customWidth="1"/>
    <col min="4" max="4" width="11.6640625" customWidth="1"/>
    <col min="5" max="5" width="8.1640625" customWidth="1"/>
  </cols>
  <sheetData>
    <row r="1" spans="1:4" ht="18.75" customHeight="1">
      <c r="A1">
        <v>1</v>
      </c>
      <c r="B1" t="s">
        <v>434</v>
      </c>
      <c r="C1" t="s">
        <v>435</v>
      </c>
    </row>
    <row r="2" spans="1:4" ht="18.75" customHeight="1">
      <c r="A2">
        <v>2</v>
      </c>
      <c r="B2" t="s">
        <v>434</v>
      </c>
      <c r="C2" t="s">
        <v>766</v>
      </c>
      <c r="D2" t="s">
        <v>686</v>
      </c>
    </row>
    <row r="3" spans="1:4" ht="18.75" customHeight="1">
      <c r="A3">
        <v>3</v>
      </c>
      <c r="B3" t="s">
        <v>26</v>
      </c>
      <c r="C3" t="s">
        <v>637</v>
      </c>
      <c r="D3" t="s">
        <v>684</v>
      </c>
    </row>
    <row r="4" spans="1:4" ht="18.75" customHeight="1">
      <c r="A4">
        <v>4</v>
      </c>
      <c r="B4" t="s">
        <v>26</v>
      </c>
      <c r="C4" t="s">
        <v>767</v>
      </c>
      <c r="D4" t="s">
        <v>684</v>
      </c>
    </row>
    <row r="5" spans="1:4" ht="18.75" customHeight="1">
      <c r="A5">
        <v>5</v>
      </c>
      <c r="B5" t="s">
        <v>26</v>
      </c>
      <c r="C5" t="s">
        <v>80</v>
      </c>
    </row>
    <row r="6" spans="1:4" ht="18.75" customHeight="1">
      <c r="A6">
        <v>6</v>
      </c>
      <c r="B6" t="s">
        <v>544</v>
      </c>
      <c r="C6" t="s">
        <v>593</v>
      </c>
    </row>
    <row r="7" spans="1:4" ht="18.75" customHeight="1">
      <c r="A7">
        <v>7</v>
      </c>
      <c r="B7" t="s">
        <v>544</v>
      </c>
      <c r="C7" t="s">
        <v>768</v>
      </c>
    </row>
    <row r="8" spans="1:4" ht="18.75" customHeight="1">
      <c r="A8">
        <v>8</v>
      </c>
      <c r="B8" t="s">
        <v>544</v>
      </c>
      <c r="C8" t="s">
        <v>769</v>
      </c>
    </row>
    <row r="9" spans="1:4" ht="18.75" customHeight="1">
      <c r="A9">
        <v>9</v>
      </c>
      <c r="B9" t="s">
        <v>544</v>
      </c>
      <c r="C9" t="s">
        <v>770</v>
      </c>
    </row>
    <row r="10" spans="1:4" ht="18.5" customHeight="1">
      <c r="A10">
        <v>10</v>
      </c>
      <c r="B10" t="s">
        <v>544</v>
      </c>
      <c r="C10" t="s">
        <v>560</v>
      </c>
    </row>
    <row r="11" spans="1:4" ht="18.5" customHeight="1">
      <c r="A11">
        <v>11</v>
      </c>
      <c r="B11" t="s">
        <v>110</v>
      </c>
      <c r="C11" t="s">
        <v>177</v>
      </c>
      <c r="D11" t="s">
        <v>684</v>
      </c>
    </row>
    <row r="12" spans="1:4" ht="18.75" customHeight="1">
      <c r="A12">
        <v>12</v>
      </c>
      <c r="B12" t="s">
        <v>110</v>
      </c>
      <c r="C12" t="s">
        <v>188</v>
      </c>
    </row>
    <row r="13" spans="1:4" ht="18.75" customHeight="1">
      <c r="A13">
        <v>13</v>
      </c>
      <c r="B13" t="s">
        <v>274</v>
      </c>
      <c r="C13" t="s">
        <v>275</v>
      </c>
    </row>
    <row r="14" spans="1:4" ht="18.75" customHeight="1">
      <c r="A14">
        <v>14</v>
      </c>
      <c r="B14" t="s">
        <v>274</v>
      </c>
      <c r="C14" t="s">
        <v>279</v>
      </c>
    </row>
    <row r="15" spans="1:4" ht="18.75" customHeight="1">
      <c r="A15">
        <v>15</v>
      </c>
      <c r="B15" t="s">
        <v>274</v>
      </c>
      <c r="C15" t="s">
        <v>281</v>
      </c>
      <c r="D15" t="s">
        <v>686</v>
      </c>
    </row>
    <row r="16" spans="1:4" ht="18.75" customHeight="1">
      <c r="A16">
        <v>16</v>
      </c>
      <c r="B16" t="s">
        <v>274</v>
      </c>
      <c r="C16" t="s">
        <v>642</v>
      </c>
    </row>
    <row r="17" spans="1:4" ht="18.75" customHeight="1">
      <c r="A17">
        <v>17</v>
      </c>
      <c r="B17" t="s">
        <v>274</v>
      </c>
      <c r="C17" t="s">
        <v>303</v>
      </c>
    </row>
    <row r="18" spans="1:4" ht="18.75" customHeight="1">
      <c r="A18">
        <v>18</v>
      </c>
      <c r="B18" t="s">
        <v>761</v>
      </c>
      <c r="C18" t="s">
        <v>228</v>
      </c>
    </row>
    <row r="19" spans="1:4" ht="18.75" customHeight="1">
      <c r="A19">
        <v>19</v>
      </c>
      <c r="B19" t="s">
        <v>761</v>
      </c>
      <c r="C19" t="s">
        <v>670</v>
      </c>
    </row>
    <row r="20" spans="1:4" ht="18.75" customHeight="1">
      <c r="A20">
        <v>20</v>
      </c>
      <c r="B20" t="s">
        <v>761</v>
      </c>
      <c r="C20" t="s">
        <v>237</v>
      </c>
    </row>
    <row r="21" spans="1:4" ht="18.75" customHeight="1">
      <c r="A21">
        <v>21</v>
      </c>
      <c r="B21" t="s">
        <v>522</v>
      </c>
      <c r="C21" t="s">
        <v>771</v>
      </c>
    </row>
    <row r="22" spans="1:4" ht="18.75" customHeight="1">
      <c r="A22">
        <v>22</v>
      </c>
      <c r="B22" t="s">
        <v>522</v>
      </c>
      <c r="C22" t="s">
        <v>530</v>
      </c>
    </row>
    <row r="23" spans="1:4" ht="18.75" customHeight="1">
      <c r="A23">
        <v>23</v>
      </c>
      <c r="B23" t="s">
        <v>522</v>
      </c>
      <c r="C23" t="s">
        <v>533</v>
      </c>
    </row>
    <row r="24" spans="1:4" ht="18.75" customHeight="1">
      <c r="A24">
        <v>24</v>
      </c>
      <c r="B24" t="s">
        <v>370</v>
      </c>
      <c r="C24" t="s">
        <v>698</v>
      </c>
    </row>
    <row r="25" spans="1:4" ht="18.75" customHeight="1">
      <c r="A25">
        <v>25</v>
      </c>
      <c r="B25" t="s">
        <v>370</v>
      </c>
      <c r="C25" t="s">
        <v>772</v>
      </c>
      <c r="D25" t="s">
        <v>684</v>
      </c>
    </row>
    <row r="26" spans="1:4" ht="18.75" customHeight="1">
      <c r="A26">
        <v>26</v>
      </c>
      <c r="B26" t="s">
        <v>500</v>
      </c>
      <c r="C26" t="s">
        <v>518</v>
      </c>
    </row>
    <row r="27" spans="1:4" ht="18.75" customHeight="1">
      <c r="A27">
        <v>27</v>
      </c>
      <c r="B27" t="s">
        <v>500</v>
      </c>
      <c r="C27" t="s">
        <v>773</v>
      </c>
    </row>
    <row r="28" spans="1:4" ht="18.75" customHeight="1">
      <c r="A28">
        <v>28</v>
      </c>
      <c r="B28" t="s">
        <v>500</v>
      </c>
      <c r="C28" t="s">
        <v>774</v>
      </c>
    </row>
    <row r="29" spans="1:4" ht="18.75" customHeight="1"/>
    <row r="30" spans="1:4" ht="18.75" customHeight="1"/>
    <row r="31" spans="1:4" ht="18.75" customHeight="1"/>
    <row r="32" spans="1:4" ht="18.75" customHeight="1"/>
    <row r="33" ht="18.75" customHeight="1"/>
    <row r="34" ht="18.75" customHeight="1"/>
    <row r="35" ht="18.75" customHeight="1"/>
    <row r="36" ht="18.75" customHeight="1"/>
    <row r="37" ht="15.75" customHeight="1"/>
    <row r="38" ht="15.75" customHeight="1"/>
    <row r="39" ht="15.75" customHeight="1"/>
    <row r="40" ht="15.75" customHeight="1"/>
    <row r="41" ht="15.75" customHeight="1"/>
  </sheetData>
  <phoneticPr fontId="1"/>
  <pageMargins left="0.70866141732283472" right="0.70866141732283472" top="0.74803149606299213" bottom="0.74803149606299213" header="0.31496062992125978" footer="0.3149606299212597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"/>
  <sheetViews>
    <sheetView workbookViewId="0"/>
  </sheetViews>
  <sheetFormatPr baseColWidth="10" defaultRowHeight="16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775</v>
      </c>
      <c r="V1" t="s">
        <v>776</v>
      </c>
      <c r="W1" t="s">
        <v>777</v>
      </c>
    </row>
    <row r="2" spans="1:29">
      <c r="A2" t="s">
        <v>544</v>
      </c>
      <c r="B2" t="s">
        <v>94</v>
      </c>
      <c r="C2">
        <v>245</v>
      </c>
      <c r="D2">
        <v>243</v>
      </c>
      <c r="E2" t="s">
        <v>778</v>
      </c>
      <c r="F2" t="s">
        <v>686</v>
      </c>
      <c r="H2" t="s">
        <v>44</v>
      </c>
      <c r="I2" t="s">
        <v>31</v>
      </c>
      <c r="J2" t="s">
        <v>31</v>
      </c>
      <c r="K2" t="s">
        <v>44</v>
      </c>
      <c r="L2" t="s">
        <v>31</v>
      </c>
      <c r="M2" t="s">
        <v>379</v>
      </c>
      <c r="P2" t="s">
        <v>15</v>
      </c>
      <c r="R2" t="s">
        <v>779</v>
      </c>
      <c r="U2" t="s">
        <v>780</v>
      </c>
      <c r="V2">
        <v>245</v>
      </c>
      <c r="W2">
        <v>244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6</vt:i4>
      </vt:variant>
    </vt:vector>
  </HeadingPairs>
  <TitlesOfParts>
    <vt:vector size="15" baseType="lpstr">
      <vt:lpstr>2026年度担当者物件表  20260127</vt:lpstr>
      <vt:lpstr>水曜日金属（行ってるとこコバ）</vt:lpstr>
      <vt:lpstr>水曜日金属収集表  (改定)</vt:lpstr>
      <vt:lpstr>水曜日金属収集表  (uejii)</vt:lpstr>
      <vt:lpstr>水曜日金属収集表 </vt:lpstr>
      <vt:lpstr>水曜日可燃収集表 (20250709)</vt:lpstr>
      <vt:lpstr>土曜日物件表 20250624</vt:lpstr>
      <vt:lpstr>ガラ集物件（20250709）</vt:lpstr>
      <vt:lpstr>非表示物件</vt:lpstr>
      <vt:lpstr>'ガラ集物件（20250709）'!Print_Area</vt:lpstr>
      <vt:lpstr>'水曜日可燃収集表 (20250709)'!Print_Area</vt:lpstr>
      <vt:lpstr>'水曜日金属（行ってるとこコバ）'!Print_Area</vt:lpstr>
      <vt:lpstr>'水曜日金属収集表 '!Print_Area</vt:lpstr>
      <vt:lpstr>'水曜日金属収集表  (改定)'!Print_Area</vt:lpstr>
      <vt:lpstr>'土曜日物件表 20250624'!Print_Area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mouse-64</dc:creator>
  <cp:lastModifiedBy>伸一85088508 西山</cp:lastModifiedBy>
  <cp:lastPrinted>2026-02-10T07:48:35Z</cp:lastPrinted>
  <dcterms:created xsi:type="dcterms:W3CDTF">2017-03-05T20:38:24Z</dcterms:created>
  <dcterms:modified xsi:type="dcterms:W3CDTF">2026-10-14T11:34:43Z</dcterms:modified>
</cp:coreProperties>
</file>